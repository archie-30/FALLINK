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<sst xmlns="http://schemas.openxmlformats.org/spreadsheetml/2006/main" count="524" uniqueCount="370">
  <si>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</si>
  <si>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</si>
  <si>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</si>
  <si>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</si>
  <si>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</si>
  <si>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</si>
  <si>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</si>
  <si>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</si>
  <si>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</si>
  <si>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</si>
  <si>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</si>
  <si>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</si>
  <si>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</si>
  <si>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</si>
  <si>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</si>
  <si>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</si>
  <si>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</si>
  <si>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</si>
  <si>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</si>
  <si>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</si>
  <si>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</si>
  <si>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</si>
  <si>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</si>
  <si>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</si>
  <si>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</si>
  <si>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</si>
  <si>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</si>
  <si>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</si>
  <si>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</si>
  <si>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</si>
  <si>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</si>
  <si>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</si>
  <si>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</si>
  <si>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</si>
  <si>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</si>
  <si>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</si>
  <si>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</si>
  <si>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</si>
  <si>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</si>
  <si>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</si>
  <si>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</si>
  <si>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</si>
  <si>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</si>
  <si>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</si>
  <si>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</si>
  <si>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</si>
  <si>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</si>
  <si>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</si>
  <si>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</si>
  <si>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</si>
  <si>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</si>
  <si>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</si>
  <si>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</si>
  <si>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</si>
  <si>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</si>
  <si>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</si>
  <si>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</si>
  <si>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</si>
  <si>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</si>
  <si>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</si>
  <si>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</si>
  <si>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</si>
  <si>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</si>
  <si>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</si>
  <si>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</si>
  <si>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</si>
  <si>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</si>
  <si>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</si>
  <si>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</si>
  <si>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</si>
  <si>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</si>
  <si>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</si>
  <si>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</si>
  <si>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</si>
  <si>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</si>
  <si>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</si>
  <si>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</si>
  <si>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</si>
  <si>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</si>
  <si>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</si>
  <si>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</si>
  <si>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</si>
  <si>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</si>
  <si>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</si>
  <si>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</si>
  <si>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</si>
  <si>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</si>
  <si>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</si>
  <si>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eraseCover</t>
  </si>
  <si>
    <t xml:space="preserve">擦除掩體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</si>
  <si>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</si>
  <si>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</si>
  <si>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</si>
  <si>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內的一塊掩體或牆。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</si>
  <si>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內的一塊掩體或牆。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</si>
  <si>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</si>
  <si>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</si>
  <si>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</si>
  <si>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</si>
  <si>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</si>
  <si>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</si>
  <si>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</si>
  <si>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</si>
  <si>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</si>
  <si>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</si>
  <si>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</si>
  <si>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</si>
  <si>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</si>
  <si>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</si>
  <si>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</si>
  <si>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</si>
  <si>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</si>
  <si>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</si>
  <si>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</si>
  <si>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</si>
  <si>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</si>
  <si>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</si>
  <si>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</si>
  <si>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</si>
  <si>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</si>
  <si>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</si>
  <si>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</si>
  <si>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</si>
  <si>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</si>
  <si>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</si>
  <si>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</si>
  <si>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</si>
  <si>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</si>
  <si>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</si>
  <si>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</si>
  <si>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</si>
  <si>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</si>
  <si>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</si>
  <si>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</si>
  <si>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</si>
  <si>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</si>
  <si>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</si>
  <si>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</si>
  <si>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</si>
  <si>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</si>
  <si>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</si>
  <si>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</si>
  <si>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</si>
  <si>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</si>
  <si>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</si>
  <si>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</si>
  <si>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</si>
  <si>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</si>
  <si>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</si>
  <si>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</si>
  <si>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mark</t>
  </si>
  <si>
    <t xml:space="preserve">標記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</si>
  <si>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</si>
  <si>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</si>
  <si>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</si>
  <si>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</si>
  <si>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</si>
  <si>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</si>
  <si>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</si>
  <si>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</si>
  <si>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</si>
  <si>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</si>
  <si>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</si>
  <si>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</si>
  <si>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</si>
  <si>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</si>
  <si>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</si>
  <si>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</si>
  <si>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</si>
  <si>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</si>
  <si>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</si>
  <si>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</si>
  <si>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秒內每次射擊都會同時射出兩發。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</si>
  <si>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秒內每次射擊都會同時射出兩發。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</si>
  <si>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</si>
  <si>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</si>
  <si>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</si>
  <si>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</si>
  <si>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</si>
  <si>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</si>
  <si>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</si>
  <si>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</si>
  <si>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</si>
  <si>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</si>
  <si>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</si>
  <si>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</si>
  <si>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</si>
  <si>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</si>
  <si>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</si>
  <si>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</si>
  <si>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</si>
  <si>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</si>
  <si>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</si>
  <si>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</si>
  <si>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</si>
  <si>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</si>
  <si>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</si>
  <si>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</si>
  <si>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</si>
  <si>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</si>
  <si>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</si>
  <si>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</si>
  <si>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</si>
  <si>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</si>
  <si>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</si>
  <si>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</si>
  <si>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</si>
  <si>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</si>
  <si>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</si>
  <si>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</si>
  <si>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</si>
  <si>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</si>
  <si>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</si>
  <si>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</si>
  <si>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</si>
  <si>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</si>
  <si>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</si>
  <si>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</si>
  <si>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</si>
  <si>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</si>
  <si>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</si>
  <si>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</si>
  <si>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</si>
  <si>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</si>
  <si>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</si>
  <si>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</si>
  <si>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</si>
  <si>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</si>
  <si>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</si>
  <si>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</si>
  <si>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</si>
  <si>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</si>
  <si>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</si>
  <si>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</si>
  <si>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</si>
  <si>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</si>
  <si>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</si>
  <si>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</si>
  <si>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</si>
  <si>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</si>
  <si>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</si>
  <si>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</si>
  <si>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</si>
  <si>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</si>
  <si>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</si>
  <si>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</si>
  <si>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免費重播本房間你上一張打出的卡（目標相同）；若還沒出過牌則獲得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</si>
  <si>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</si>
  <si>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</si>
  <si>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</si>
  <si>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</si>
  <si>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</si>
  <si>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</si>
  <si>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</si>
  <si>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</si>
  <si>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</si>
  <si>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</si>
  <si>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</si>
  <si>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</si>
  <si>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</si>
  <si>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</si>
  <si>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</si>
  <si>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</si>
  <si>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</si>
  <si>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</si>
  <si>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</si>
  <si>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</si>
  <si>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</si>
  <si>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</si>
  <si>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</si>
  <si>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</si>
  <si>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</si>
  <si>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</si>
  <si>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</si>
  <si>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</si>
  <si>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</si>
  <si>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</si>
  <si>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</si>
  <si>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</si>
  <si>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</si>
  <si>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</si>
  <si>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</si>
  <si>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</si>
  <si>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</si>
  <si>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</si>
  <si>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</si>
  <si>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</si>
  <si>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</si>
  <si>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</si>
  <si>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</si>
  <si>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</si>
  <si>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</si>
  <si>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</si>
  <si>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</si>
  <si>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</si>
  <si>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</si>
  <si>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</si>
  <si>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</si>
  <si>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</si>
  <si>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</si>
  <si>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</si>
  <si>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</si>
  <si>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</si>
  <si>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</si>
  <si>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</si>
  <si>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</si>
  <si>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</si>
  <si>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</si>
  <si>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</si>
  <si>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</si>
  <si>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</si>
  <si>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</si>
  <si>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</si>
  <si>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</si>
  <si>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</si>
  <si>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</si>
  <si>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</si>
  <si>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</si>
  <si>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</si>
  <si>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</si>
  <si>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</si>
  <si>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</si>
  <si>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</si>
  <si>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</si>
  <si>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</si>
  <si>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</si>
  <si>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</si>
  <si>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</si>
  <si>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</si>
  <si>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</si>
  <si>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</si>
  <si>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</si>
  <si>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</si>
  <si>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</si>
  <si>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【衝刺剪擊】預判你的位置畫出紅線後高速衝刺，沿路留下紅色切痕。撞牆會卡住，此時受到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</si>
  <si>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</si>
  <si>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</si>
  <si>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</si>
  <si>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</si>
  <si>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</si>
  <si>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</si>
  <si>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</si>
  <si>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</si>
  <si>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</si>
  <si>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</si>
  <si>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</si>
  <si>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</si>
  <si>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</si>
  <si>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</si>
  <si>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</si>
  <si>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</si>
  <si>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</si>
  <si>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</si>
  <si>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</si>
  <si>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</si>
  <si>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</si>
  <si>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</si>
  <si>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揮灑墨痕・落空返還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</si>
  <si>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揮筆擦除身前敵彈（半徑 </t>
    </r>
    <r>
      <rPr>
        <sz val="11"/>
        <rFont val="Arial"/>
        <family val="0"/>
        <charset val="1"/>
      </rPr>
      <t xml:space="preserve">4.2</t>
    </r>
    <r>
      <rPr>
        <sz val="11"/>
        <rFont val="WenQuanYi Zen Hei"/>
        <family val="2"/>
      </rPr>
      <t xml:space="preserve">、角度 </t>
    </r>
    <r>
      <rPr>
        <sz val="11"/>
        <rFont val="Arial"/>
        <family val="0"/>
        <charset val="1"/>
      </rPr>
      <t xml:space="preserve">0.7</t>
    </r>
    <r>
      <rPr>
        <sz val="11"/>
        <rFont val="WenQuanYi Zen Hei"/>
        <family val="2"/>
      </rPr>
      <t xml:space="preserve">）
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次揮筆都沒打中任何敵人時返還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格彈匣；換彈中則直接還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</si>
  <si>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</si>
  <si>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</si>
  <si>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</si>
  <si>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</si>
  <si>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</si>
  <si>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</si>
  <si>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</si>
  <si>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</si>
  <si>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</si>
  <si>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回力鏢・飛回補彈</t>
  </si>
  <si>
    <t xml:space="preserve">回力鏢：直線飛出、以同樣速度直線飛回手上，去回都穿透（可打兩次），穿過紙箱與墨水桶，撞牆彈回；不需換彈，飛回即補回一發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</si>
</sst>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15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14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55.2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74</v>
      </c>
      <c r="E10" s="7" t="s">
        <v>97</v>
      </c>
      <c r="F10" s="7" t="s">
        <v>60</v>
      </c>
      <c r="G10" s="8" t="n">
        <v>11</v>
      </c>
      <c r="H10" s="8" t="n">
        <v>1</v>
      </c>
      <c r="I10" s="8" t="n">
        <v>0</v>
      </c>
      <c r="J10" s="8" t="n">
        <v>1</v>
      </c>
      <c r="K10" s="8" t="n">
        <v>1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1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104</v>
      </c>
      <c r="E11" s="7" t="s">
        <v>67</v>
      </c>
      <c r="F11" s="7" t="s">
        <v>52</v>
      </c>
      <c r="G11" s="8"/>
      <c r="H11" s="8" t="n">
        <v>1</v>
      </c>
      <c r="I11" s="8" t="n">
        <v>1</v>
      </c>
      <c r="J11" s="8" t="n">
        <v>3</v>
      </c>
      <c r="K11" s="8" t="n">
        <v>3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28.3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104</v>
      </c>
      <c r="E12" s="7" t="s">
        <v>111</v>
      </c>
      <c r="F12" s="7" t="s">
        <v>38</v>
      </c>
      <c r="G12" s="8" t="n">
        <v>6</v>
      </c>
      <c r="H12" s="8" t="n">
        <v>1</v>
      </c>
      <c r="I12" s="8" t="n">
        <v>0</v>
      </c>
      <c r="J12" s="8" t="n">
        <v>2</v>
      </c>
      <c r="K12" s="8" t="n">
        <v>2</v>
      </c>
      <c r="L12" s="9" t="s">
        <v>112</v>
      </c>
      <c r="M12" s="9" t="s">
        <v>113</v>
      </c>
      <c r="N12" s="7" t="s">
        <v>114</v>
      </c>
      <c r="O12" s="7" t="s">
        <v>115</v>
      </c>
      <c r="P12" s="10"/>
    </row>
    <row r="13" customFormat="false" ht="15" hidden="false" customHeight="false" outlineLevel="0" collapsed="false">
      <c r="A13" s="6" t="s">
        <v>116</v>
      </c>
      <c r="B13" s="7" t="s">
        <v>117</v>
      </c>
      <c r="C13" s="7" t="s">
        <v>35</v>
      </c>
      <c r="D13" s="7" t="s">
        <v>118</v>
      </c>
      <c r="E13" s="7" t="s">
        <v>119</v>
      </c>
      <c r="F13" s="7" t="s">
        <v>52</v>
      </c>
      <c r="G13" s="8"/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28.3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118</v>
      </c>
      <c r="E14" s="7" t="s">
        <v>126</v>
      </c>
      <c r="F14" s="7" t="s">
        <v>60</v>
      </c>
      <c r="G14" s="8" t="n">
        <v>8</v>
      </c>
      <c r="H14" s="8" t="n">
        <v>1</v>
      </c>
      <c r="I14" s="8" t="n">
        <v>0</v>
      </c>
      <c r="J14" s="8" t="n">
        <v>3</v>
      </c>
      <c r="K14" s="8" t="n">
        <v>3</v>
      </c>
      <c r="L14" s="9" t="s">
        <v>127</v>
      </c>
      <c r="M14" s="9" t="s">
        <v>128</v>
      </c>
      <c r="N14" s="7" t="s">
        <v>129</v>
      </c>
      <c r="O14" s="7" t="s">
        <v>130</v>
      </c>
      <c r="P14" s="10"/>
    </row>
    <row r="15" customFormat="false" ht="15" hidden="false" customHeight="false" outlineLevel="0" collapsed="false">
      <c r="A15" s="6" t="s">
        <v>131</v>
      </c>
      <c r="B15" s="7" t="s">
        <v>132</v>
      </c>
      <c r="C15" s="7" t="s">
        <v>35</v>
      </c>
      <c r="D15" s="7" t="s">
        <v>104</v>
      </c>
      <c r="E15" s="7" t="s">
        <v>67</v>
      </c>
      <c r="F15" s="7" t="s">
        <v>52</v>
      </c>
      <c r="G15" s="8"/>
      <c r="H15" s="8" t="n">
        <v>2</v>
      </c>
      <c r="I15" s="8" t="n">
        <v>0</v>
      </c>
      <c r="J15" s="8" t="n">
        <v>3</v>
      </c>
      <c r="K15" s="8" t="n">
        <v>3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104</v>
      </c>
      <c r="E16" s="7" t="s">
        <v>139</v>
      </c>
      <c r="F16" s="7" t="s">
        <v>52</v>
      </c>
      <c r="G16" s="8"/>
      <c r="H16" s="8" t="n">
        <v>2</v>
      </c>
      <c r="I16" s="8" t="n">
        <v>0</v>
      </c>
      <c r="J16" s="8" t="n">
        <v>2</v>
      </c>
      <c r="K16" s="8" t="n">
        <v>2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118</v>
      </c>
      <c r="E17" s="7" t="s">
        <v>67</v>
      </c>
      <c r="F17" s="7" t="s">
        <v>52</v>
      </c>
      <c r="G17" s="8"/>
      <c r="H17" s="8" t="n">
        <v>2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41.7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118</v>
      </c>
      <c r="E18" s="7" t="s">
        <v>90</v>
      </c>
      <c r="F18" s="7" t="s">
        <v>60</v>
      </c>
      <c r="G18" s="8" t="n">
        <v>14</v>
      </c>
      <c r="H18" s="8" t="n">
        <v>3</v>
      </c>
      <c r="I18" s="8" t="n">
        <v>0</v>
      </c>
      <c r="J18" s="8" t="n">
        <v>1</v>
      </c>
      <c r="K18" s="8" t="n">
        <v>1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97</v>
      </c>
      <c r="F19" s="7" t="s">
        <v>60</v>
      </c>
      <c r="G19" s="8" t="n">
        <v>10</v>
      </c>
      <c r="H19" s="8" t="n">
        <v>3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104</v>
      </c>
      <c r="E20" s="7" t="s">
        <v>139</v>
      </c>
      <c r="F20" s="7" t="s">
        <v>52</v>
      </c>
      <c r="G20" s="8"/>
      <c r="H20" s="8" t="n">
        <v>3</v>
      </c>
      <c r="I20" s="8" t="n">
        <v>0</v>
      </c>
      <c r="J20" s="8" t="n">
        <v>1</v>
      </c>
      <c r="K20" s="8" t="n">
        <v>1</v>
      </c>
      <c r="L20" s="9" t="s">
        <v>164</v>
      </c>
      <c r="M20" s="9" t="s">
        <v>165</v>
      </c>
      <c r="N20" s="7" t="s">
        <v>166</v>
      </c>
      <c r="O20" s="7" t="s">
        <v>167</v>
      </c>
      <c r="P20" s="10"/>
    </row>
    <row r="21" customFormat="false" ht="15" hidden="false" customHeight="false" outlineLevel="0" collapsed="false">
      <c r="A21" s="6" t="s">
        <v>168</v>
      </c>
      <c r="B21" s="7" t="s">
        <v>169</v>
      </c>
      <c r="C21" s="7" t="s">
        <v>35</v>
      </c>
      <c r="D21" s="7" t="s">
        <v>36</v>
      </c>
      <c r="E21" s="7" t="s">
        <v>67</v>
      </c>
      <c r="F21" s="7" t="s">
        <v>52</v>
      </c>
      <c r="G21" s="8"/>
      <c r="H21" s="8" t="n">
        <v>4</v>
      </c>
      <c r="I21" s="8" t="n">
        <v>0</v>
      </c>
      <c r="J21" s="8" t="n">
        <v>2</v>
      </c>
      <c r="K21" s="8" t="n">
        <v>2</v>
      </c>
      <c r="L21" s="9" t="s">
        <v>170</v>
      </c>
      <c r="M21" s="9" t="s">
        <v>171</v>
      </c>
      <c r="N21" s="6" t="s">
        <v>172</v>
      </c>
      <c r="O21" s="6" t="s">
        <v>173</v>
      </c>
      <c r="P21" s="10"/>
    </row>
    <row r="22" customFormat="false" ht="28.35" hidden="false" customHeight="false" outlineLevel="0" collapsed="false">
      <c r="A22" s="6" t="s">
        <v>174</v>
      </c>
      <c r="B22" s="7" t="s">
        <v>175</v>
      </c>
      <c r="C22" s="7" t="s">
        <v>35</v>
      </c>
      <c r="D22" s="7" t="s">
        <v>118</v>
      </c>
      <c r="E22" s="7" t="s">
        <v>90</v>
      </c>
      <c r="F22" s="7" t="s">
        <v>60</v>
      </c>
      <c r="G22" s="8" t="n">
        <v>12</v>
      </c>
      <c r="H22" s="8" t="n">
        <v>4</v>
      </c>
      <c r="I22" s="8" t="n">
        <v>0</v>
      </c>
      <c r="J22" s="8" t="n">
        <v>2</v>
      </c>
      <c r="K22" s="8" t="n">
        <v>2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28.3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36</v>
      </c>
      <c r="E23" s="7" t="s">
        <v>59</v>
      </c>
      <c r="F23" s="7" t="s">
        <v>38</v>
      </c>
      <c r="G23" s="8" t="n">
        <v>9</v>
      </c>
      <c r="H23" s="8" t="n">
        <v>4</v>
      </c>
      <c r="I23" s="8" t="n">
        <v>0</v>
      </c>
      <c r="J23" s="8" t="n">
        <v>2</v>
      </c>
      <c r="K23" s="8" t="n">
        <v>2</v>
      </c>
      <c r="L23" s="9" t="s">
        <v>182</v>
      </c>
      <c r="M23" s="9" t="s">
        <v>183</v>
      </c>
      <c r="N23" s="7" t="s">
        <v>184</v>
      </c>
      <c r="O23" s="7" t="s">
        <v>185</v>
      </c>
      <c r="P23" s="10"/>
    </row>
    <row r="24" customFormat="false" ht="41.75" hidden="false" customHeight="false" outlineLevel="0" collapsed="false">
      <c r="A24" s="6" t="s">
        <v>186</v>
      </c>
      <c r="B24" s="7" t="s">
        <v>187</v>
      </c>
      <c r="C24" s="7" t="s">
        <v>35</v>
      </c>
      <c r="D24" s="7" t="s">
        <v>36</v>
      </c>
      <c r="E24" s="7" t="s">
        <v>188</v>
      </c>
      <c r="F24" s="7" t="s">
        <v>52</v>
      </c>
      <c r="G24" s="8"/>
      <c r="H24" s="8" t="n">
        <v>5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41.7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36</v>
      </c>
      <c r="E25" s="7" t="s">
        <v>195</v>
      </c>
      <c r="F25" s="7" t="s">
        <v>60</v>
      </c>
      <c r="G25" s="8" t="n">
        <v>12</v>
      </c>
      <c r="H25" s="8" t="n">
        <v>5</v>
      </c>
      <c r="I25" s="8" t="n">
        <v>0</v>
      </c>
      <c r="J25" s="8" t="n">
        <v>3</v>
      </c>
      <c r="K25" s="8" t="n">
        <v>3</v>
      </c>
      <c r="L25" s="9" t="s">
        <v>196</v>
      </c>
      <c r="M25" s="9" t="s">
        <v>197</v>
      </c>
      <c r="N25" s="7" t="s">
        <v>198</v>
      </c>
      <c r="O25" s="7" t="s">
        <v>199</v>
      </c>
      <c r="P25" s="10"/>
    </row>
    <row r="26" customFormat="false" ht="41.7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74</v>
      </c>
      <c r="E26" s="7" t="s">
        <v>97</v>
      </c>
      <c r="F26" s="7" t="s">
        <v>60</v>
      </c>
      <c r="G26" s="8" t="n">
        <v>9</v>
      </c>
      <c r="H26" s="8" t="n">
        <v>5</v>
      </c>
      <c r="I26" s="8" t="n">
        <v>0</v>
      </c>
      <c r="J26" s="8" t="n">
        <v>2</v>
      </c>
      <c r="K26" s="8" t="n">
        <v>2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1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104</v>
      </c>
      <c r="E27" s="7" t="s">
        <v>67</v>
      </c>
      <c r="F27" s="7" t="s">
        <v>52</v>
      </c>
      <c r="G27" s="8"/>
      <c r="H27" s="8" t="n">
        <v>6</v>
      </c>
      <c r="I27" s="8" t="n">
        <v>0</v>
      </c>
      <c r="J27" s="8" t="n">
        <v>2</v>
      </c>
      <c r="K27" s="8" t="n">
        <v>2</v>
      </c>
      <c r="L27" s="9" t="s">
        <v>121</v>
      </c>
      <c r="M27" s="9" t="s">
        <v>208</v>
      </c>
      <c r="N27" s="6" t="s">
        <v>209</v>
      </c>
      <c r="O27" s="6" t="s">
        <v>210</v>
      </c>
      <c r="P27" s="10"/>
    </row>
    <row r="28" customFormat="false" ht="1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118</v>
      </c>
      <c r="E28" s="7" t="s">
        <v>67</v>
      </c>
      <c r="F28" s="7" t="s">
        <v>52</v>
      </c>
      <c r="G28" s="8"/>
      <c r="H28" s="8" t="n">
        <v>6</v>
      </c>
      <c r="I28" s="8" t="n">
        <v>0</v>
      </c>
      <c r="J28" s="8" t="n">
        <v>1</v>
      </c>
      <c r="K28" s="8" t="n">
        <v>1</v>
      </c>
      <c r="L28" s="9" t="s">
        <v>213</v>
      </c>
      <c r="M28" s="9" t="s">
        <v>214</v>
      </c>
      <c r="N28" s="7" t="s">
        <v>215</v>
      </c>
      <c r="O28" s="7" t="s">
        <v>216</v>
      </c>
      <c r="P28" s="10"/>
    </row>
    <row r="29" customFormat="false" ht="41.75" hidden="false" customHeight="false" outlineLevel="0" collapsed="false">
      <c r="A29" s="6" t="s">
        <v>217</v>
      </c>
      <c r="B29" s="7" t="s">
        <v>218</v>
      </c>
      <c r="C29" s="7" t="s">
        <v>35</v>
      </c>
      <c r="D29" s="7" t="s">
        <v>36</v>
      </c>
      <c r="E29" s="7" t="s">
        <v>59</v>
      </c>
      <c r="F29" s="7" t="s">
        <v>60</v>
      </c>
      <c r="G29" s="8" t="n">
        <v>10</v>
      </c>
      <c r="H29" s="8" t="n">
        <v>6</v>
      </c>
      <c r="I29" s="8" t="n">
        <v>0</v>
      </c>
      <c r="J29" s="8" t="n">
        <v>3</v>
      </c>
      <c r="K29" s="8" t="n">
        <v>3</v>
      </c>
      <c r="L29" s="9" t="s">
        <v>219</v>
      </c>
      <c r="M29" s="9" t="s">
        <v>220</v>
      </c>
      <c r="N29" s="7" t="s">
        <v>221</v>
      </c>
      <c r="O29" s="7" t="s">
        <v>222</v>
      </c>
      <c r="P29" s="10"/>
    </row>
    <row r="30" customFormat="false" ht="28.35" hidden="false" customHeight="false" outlineLevel="0" collapsed="false">
      <c r="A30" s="11" t="s">
        <v>223</v>
      </c>
      <c r="B30" s="12" t="s">
        <v>224</v>
      </c>
      <c r="C30" s="12" t="s">
        <v>225</v>
      </c>
      <c r="D30" s="12" t="s">
        <v>36</v>
      </c>
      <c r="E30" s="12" t="s">
        <v>90</v>
      </c>
      <c r="F30" s="12" t="s">
        <v>60</v>
      </c>
      <c r="G30" s="13" t="n">
        <v>12</v>
      </c>
      <c r="H30" s="13" t="n">
        <v>1</v>
      </c>
      <c r="I30" s="13" t="n">
        <v>1</v>
      </c>
      <c r="J30" s="13" t="n">
        <v>5</v>
      </c>
      <c r="K30" s="13" t="n">
        <v>4</v>
      </c>
      <c r="L30" s="14" t="s">
        <v>226</v>
      </c>
      <c r="M30" s="14" t="s">
        <v>227</v>
      </c>
      <c r="N30" s="12" t="s">
        <v>228</v>
      </c>
      <c r="O30" s="12" t="s">
        <v>229</v>
      </c>
      <c r="P30" s="10"/>
    </row>
    <row r="31" customFormat="false" ht="15" hidden="false" customHeight="false" outlineLevel="0" collapsed="false">
      <c r="A31" s="11" t="s">
        <v>230</v>
      </c>
      <c r="B31" s="12" t="s">
        <v>231</v>
      </c>
      <c r="C31" s="12" t="s">
        <v>225</v>
      </c>
      <c r="D31" s="12" t="s">
        <v>118</v>
      </c>
      <c r="E31" s="12" t="s">
        <v>119</v>
      </c>
      <c r="F31" s="12" t="s">
        <v>52</v>
      </c>
      <c r="G31" s="13"/>
      <c r="H31" s="13" t="n">
        <v>1</v>
      </c>
      <c r="I31" s="13" t="n">
        <v>0</v>
      </c>
      <c r="J31" s="13" t="n">
        <v>3</v>
      </c>
      <c r="K31" s="13" t="n">
        <v>2</v>
      </c>
      <c r="L31" s="14" t="s">
        <v>232</v>
      </c>
      <c r="M31" s="14" t="s">
        <v>233</v>
      </c>
      <c r="N31" s="12" t="s">
        <v>234</v>
      </c>
      <c r="O31" s="12" t="s">
        <v>235</v>
      </c>
      <c r="P31" s="10"/>
    </row>
    <row r="32" customFormat="false" ht="41.75" hidden="false" customHeight="false" outlineLevel="0" collapsed="false">
      <c r="A32" s="11" t="s">
        <v>236</v>
      </c>
      <c r="B32" s="12" t="s">
        <v>237</v>
      </c>
      <c r="C32" s="12" t="s">
        <v>225</v>
      </c>
      <c r="D32" s="12" t="s">
        <v>36</v>
      </c>
      <c r="E32" s="12" t="s">
        <v>83</v>
      </c>
      <c r="F32" s="12" t="s">
        <v>38</v>
      </c>
      <c r="G32" s="13" t="n">
        <v>16</v>
      </c>
      <c r="H32" s="13" t="n">
        <v>3</v>
      </c>
      <c r="I32" s="13" t="n">
        <v>0</v>
      </c>
      <c r="J32" s="13" t="n">
        <v>4</v>
      </c>
      <c r="K32" s="13" t="n">
        <v>3</v>
      </c>
      <c r="L32" s="14" t="s">
        <v>238</v>
      </c>
      <c r="M32" s="14" t="s">
        <v>239</v>
      </c>
      <c r="N32" s="12" t="s">
        <v>240</v>
      </c>
      <c r="O32" s="12" t="s">
        <v>241</v>
      </c>
      <c r="P32" s="10"/>
    </row>
    <row r="33" customFormat="false" ht="28.35" hidden="false" customHeight="false" outlineLevel="0" collapsed="false">
      <c r="A33" s="11" t="s">
        <v>242</v>
      </c>
      <c r="B33" s="12" t="s">
        <v>243</v>
      </c>
      <c r="C33" s="12" t="s">
        <v>225</v>
      </c>
      <c r="D33" s="12" t="s">
        <v>118</v>
      </c>
      <c r="E33" s="12" t="s">
        <v>244</v>
      </c>
      <c r="F33" s="12" t="s">
        <v>52</v>
      </c>
      <c r="G33" s="13"/>
      <c r="H33" s="13" t="n">
        <v>4</v>
      </c>
      <c r="I33" s="13" t="n">
        <v>0</v>
      </c>
      <c r="J33" s="13" t="n">
        <v>3</v>
      </c>
      <c r="K33" s="13" t="n">
        <v>2</v>
      </c>
      <c r="L33" s="14" t="s">
        <v>245</v>
      </c>
      <c r="M33" s="14" t="s">
        <v>245</v>
      </c>
      <c r="N33" s="12" t="s">
        <v>246</v>
      </c>
      <c r="O33" s="12" t="s">
        <v>87</v>
      </c>
      <c r="P33" s="10"/>
    </row>
    <row r="34" customFormat="false" ht="41.75" hidden="false" customHeight="false" outlineLevel="0" collapsed="false">
      <c r="A34" s="11" t="s">
        <v>247</v>
      </c>
      <c r="B34" s="12" t="s">
        <v>248</v>
      </c>
      <c r="C34" s="12" t="s">
        <v>225</v>
      </c>
      <c r="D34" s="12" t="s">
        <v>36</v>
      </c>
      <c r="E34" s="12" t="s">
        <v>97</v>
      </c>
      <c r="F34" s="12" t="s">
        <v>60</v>
      </c>
      <c r="G34" s="13" t="n">
        <v>12</v>
      </c>
      <c r="H34" s="13" t="n">
        <v>5</v>
      </c>
      <c r="I34" s="13" t="n">
        <v>0</v>
      </c>
      <c r="J34" s="13" t="n">
        <v>5</v>
      </c>
      <c r="K34" s="13" t="n">
        <v>4</v>
      </c>
      <c r="L34" s="14" t="s">
        <v>249</v>
      </c>
      <c r="M34" s="14" t="s">
        <v>250</v>
      </c>
      <c r="N34" s="12" t="s">
        <v>251</v>
      </c>
      <c r="O34" s="12" t="s">
        <v>252</v>
      </c>
      <c r="P34" s="10"/>
    </row>
    <row r="35" customFormat="false" ht="41.75" hidden="false" customHeight="false" outlineLevel="0" collapsed="false">
      <c r="A35" s="11" t="s">
        <v>253</v>
      </c>
      <c r="B35" s="12" t="s">
        <v>254</v>
      </c>
      <c r="C35" s="12" t="s">
        <v>225</v>
      </c>
      <c r="D35" s="12" t="s">
        <v>36</v>
      </c>
      <c r="E35" s="12" t="s">
        <v>37</v>
      </c>
      <c r="F35" s="12" t="s">
        <v>52</v>
      </c>
      <c r="G35" s="13"/>
      <c r="H35" s="13" t="n">
        <v>6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1" t="s">
        <v>257</v>
      </c>
      <c r="O35" s="11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225</v>
      </c>
      <c r="D36" s="12" t="s">
        <v>36</v>
      </c>
      <c r="E36" s="12" t="s">
        <v>261</v>
      </c>
      <c r="F36" s="12" t="s">
        <v>38</v>
      </c>
      <c r="G36" s="13" t="n">
        <v>22</v>
      </c>
      <c r="H36" s="13" t="n">
        <v>7</v>
      </c>
      <c r="I36" s="13" t="n">
        <v>0</v>
      </c>
      <c r="J36" s="13" t="n">
        <v>4</v>
      </c>
      <c r="K36" s="13" t="n">
        <v>3</v>
      </c>
      <c r="L36" s="14" t="s">
        <v>262</v>
      </c>
      <c r="M36" s="14" t="s">
        <v>263</v>
      </c>
      <c r="N36" s="12" t="s">
        <v>264</v>
      </c>
      <c r="O36" s="12" t="s">
        <v>265</v>
      </c>
      <c r="P36" s="10"/>
    </row>
    <row r="37" customFormat="false" ht="28.35" hidden="false" customHeight="false" outlineLevel="0" collapsed="false">
      <c r="A37" s="11" t="s">
        <v>266</v>
      </c>
      <c r="B37" s="12" t="s">
        <v>267</v>
      </c>
      <c r="C37" s="12" t="s">
        <v>225</v>
      </c>
      <c r="D37" s="12" t="s">
        <v>118</v>
      </c>
      <c r="E37" s="12" t="s">
        <v>119</v>
      </c>
      <c r="F37" s="12" t="s">
        <v>52</v>
      </c>
      <c r="G37" s="13"/>
      <c r="H37" s="13" t="n">
        <v>7</v>
      </c>
      <c r="I37" s="13" t="n">
        <v>0</v>
      </c>
      <c r="J37" s="13" t="n">
        <v>4</v>
      </c>
      <c r="K37" s="13" t="n">
        <v>3</v>
      </c>
      <c r="L37" s="14" t="s">
        <v>121</v>
      </c>
      <c r="M37" s="14" t="s">
        <v>268</v>
      </c>
      <c r="N37" s="12" t="s">
        <v>269</v>
      </c>
      <c r="O37" s="12" t="s">
        <v>270</v>
      </c>
      <c r="P37" s="10"/>
    </row>
    <row r="38" customFormat="false" ht="41.75" hidden="false" customHeight="false" outlineLevel="0" collapsed="false">
      <c r="A38" s="11" t="s">
        <v>271</v>
      </c>
      <c r="B38" s="12" t="s">
        <v>272</v>
      </c>
      <c r="C38" s="12" t="s">
        <v>225</v>
      </c>
      <c r="D38" s="12" t="s">
        <v>36</v>
      </c>
      <c r="E38" s="12" t="s">
        <v>119</v>
      </c>
      <c r="F38" s="12" t="s">
        <v>52</v>
      </c>
      <c r="G38" s="13"/>
      <c r="H38" s="13" t="n">
        <v>7</v>
      </c>
      <c r="I38" s="13" t="n">
        <v>0</v>
      </c>
      <c r="J38" s="13" t="n">
        <v>4</v>
      </c>
      <c r="K38" s="13" t="n">
        <v>3</v>
      </c>
      <c r="L38" s="14" t="s">
        <v>273</v>
      </c>
      <c r="M38" s="14" t="s">
        <v>273</v>
      </c>
      <c r="N38" s="12" t="s">
        <v>274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275</v>
      </c>
      <c r="B1" s="15" t="n">
        <v>2.5</v>
      </c>
      <c r="C1" s="2" t="s">
        <v>276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277</v>
      </c>
      <c r="E3" s="5" t="s">
        <v>278</v>
      </c>
      <c r="F3" s="5" t="s">
        <v>279</v>
      </c>
      <c r="G3" s="5" t="s">
        <v>280</v>
      </c>
      <c r="H3" s="5" t="s">
        <v>281</v>
      </c>
      <c r="I3" s="5" t="s">
        <v>282</v>
      </c>
      <c r="J3" s="5" t="s">
        <v>283</v>
      </c>
      <c r="K3" s="5" t="s">
        <v>284</v>
      </c>
      <c r="L3" s="5" t="s">
        <v>285</v>
      </c>
      <c r="M3" s="5" t="s">
        <v>286</v>
      </c>
      <c r="N3" s="5" t="s">
        <v>287</v>
      </c>
      <c r="O3" s="5" t="s">
        <v>288</v>
      </c>
      <c r="P3" s="5" t="s">
        <v>32</v>
      </c>
    </row>
    <row r="4" customFormat="false" ht="95.5" hidden="false" customHeight="false" outlineLevel="0" collapsed="false">
      <c r="A4" s="6" t="s">
        <v>289</v>
      </c>
      <c r="B4" s="7" t="s">
        <v>290</v>
      </c>
      <c r="C4" s="7" t="s">
        <v>291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292</v>
      </c>
      <c r="K4" s="8" t="n">
        <v>1</v>
      </c>
      <c r="L4" s="7" t="n">
        <f aca="false">K4*$D$1</f>
        <v>2</v>
      </c>
      <c r="M4" s="8" t="n">
        <v>1</v>
      </c>
      <c r="N4" s="7" t="s">
        <v>293</v>
      </c>
      <c r="O4" s="6" t="s">
        <v>294</v>
      </c>
      <c r="P4" s="10"/>
    </row>
    <row r="5" customFormat="false" ht="135.8" hidden="false" customHeight="false" outlineLevel="0" collapsed="false">
      <c r="A5" s="6" t="s">
        <v>295</v>
      </c>
      <c r="B5" s="7" t="s">
        <v>296</v>
      </c>
      <c r="C5" s="7" t="s">
        <v>291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297</v>
      </c>
      <c r="O5" s="6" t="s">
        <v>298</v>
      </c>
      <c r="P5" s="10"/>
    </row>
    <row r="6" customFormat="false" ht="122.35" hidden="false" customHeight="false" outlineLevel="0" collapsed="false">
      <c r="A6" s="6" t="s">
        <v>299</v>
      </c>
      <c r="B6" s="7" t="s">
        <v>300</v>
      </c>
      <c r="C6" s="7" t="s">
        <v>291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301</v>
      </c>
      <c r="K6" s="8" t="n">
        <v>1.5</v>
      </c>
      <c r="L6" s="7" t="n">
        <f aca="false">K6*$D$1</f>
        <v>3</v>
      </c>
      <c r="M6" s="8" t="n">
        <v>2</v>
      </c>
      <c r="N6" s="7" t="s">
        <v>302</v>
      </c>
      <c r="O6" s="6" t="s">
        <v>303</v>
      </c>
      <c r="P6" s="10"/>
    </row>
    <row r="7" customFormat="false" ht="243.25" hidden="false" customHeight="false" outlineLevel="0" collapsed="false">
      <c r="A7" s="6" t="s">
        <v>304</v>
      </c>
      <c r="B7" s="7" t="s">
        <v>305</v>
      </c>
      <c r="C7" s="7" t="s">
        <v>306</v>
      </c>
      <c r="D7" s="8" t="n">
        <v>44</v>
      </c>
      <c r="E7" s="7" t="n">
        <f aca="false">ROUND(D7*$B$1,0)</f>
        <v>110</v>
      </c>
      <c r="F7" s="8" t="n">
        <v>2.6</v>
      </c>
      <c r="G7" s="8" t="n">
        <v>0</v>
      </c>
      <c r="H7" s="8"/>
      <c r="I7" s="8"/>
      <c r="J7" s="8"/>
      <c r="K7" s="8" t="n">
        <v>1.5</v>
      </c>
      <c r="L7" s="7" t="n">
        <f aca="false">K7*$D$1</f>
        <v>3</v>
      </c>
      <c r="M7" s="8" t="n">
        <v>2</v>
      </c>
      <c r="N7" s="7" t="s">
        <v>307</v>
      </c>
      <c r="O7" s="6" t="s">
        <v>308</v>
      </c>
      <c r="P7" s="10"/>
    </row>
    <row r="8" customFormat="false" ht="122.35" hidden="false" customHeight="false" outlineLevel="0" collapsed="false">
      <c r="A8" s="6" t="s">
        <v>309</v>
      </c>
      <c r="B8" s="7" t="s">
        <v>310</v>
      </c>
      <c r="C8" s="7" t="s">
        <v>306</v>
      </c>
      <c r="D8" s="8" t="n">
        <v>26</v>
      </c>
      <c r="E8" s="7" t="n">
        <f aca="false">ROUND(D8*$B$1,0)</f>
        <v>65</v>
      </c>
      <c r="F8" s="8" t="n">
        <v>6.5</v>
      </c>
      <c r="G8" s="8" t="n">
        <v>1</v>
      </c>
      <c r="H8" s="8"/>
      <c r="I8" s="8"/>
      <c r="J8" s="8"/>
      <c r="K8" s="8" t="n">
        <v>1</v>
      </c>
      <c r="L8" s="7" t="n">
        <f aca="false">K8*$D$1</f>
        <v>2</v>
      </c>
      <c r="M8" s="8" t="n">
        <v>1</v>
      </c>
      <c r="N8" s="7" t="s">
        <v>311</v>
      </c>
      <c r="O8" s="6" t="s">
        <v>312</v>
      </c>
      <c r="P8" s="10"/>
    </row>
    <row r="9" customFormat="false" ht="95.5" hidden="false" customHeight="false" outlineLevel="0" collapsed="false">
      <c r="A9" s="6" t="s">
        <v>313</v>
      </c>
      <c r="B9" s="7" t="s">
        <v>314</v>
      </c>
      <c r="C9" s="7" t="s">
        <v>291</v>
      </c>
      <c r="D9" s="8" t="n">
        <v>58</v>
      </c>
      <c r="E9" s="7" t="n">
        <f aca="false">ROUND(D9*$B$1,0)</f>
        <v>145</v>
      </c>
      <c r="F9" s="8" t="n">
        <v>2.2</v>
      </c>
      <c r="G9" s="8" t="n">
        <v>1</v>
      </c>
      <c r="H9" s="8" t="n">
        <v>1</v>
      </c>
      <c r="I9" s="8" t="n">
        <v>6</v>
      </c>
      <c r="J9" s="8" t="s">
        <v>315</v>
      </c>
      <c r="K9" s="8" t="n">
        <v>1.5</v>
      </c>
      <c r="L9" s="7" t="n">
        <f aca="false">K9*$D$1</f>
        <v>3</v>
      </c>
      <c r="M9" s="8" t="n">
        <v>2</v>
      </c>
      <c r="N9" s="7" t="s">
        <v>316</v>
      </c>
      <c r="O9" s="6" t="s">
        <v>317</v>
      </c>
      <c r="P9" s="10"/>
    </row>
    <row r="10" customFormat="false" ht="122.35" hidden="false" customHeight="false" outlineLevel="0" collapsed="false">
      <c r="A10" s="6" t="s">
        <v>318</v>
      </c>
      <c r="B10" s="7" t="s">
        <v>319</v>
      </c>
      <c r="C10" s="7" t="s">
        <v>291</v>
      </c>
      <c r="D10" s="8" t="n">
        <v>90</v>
      </c>
      <c r="E10" s="7" t="n">
        <f aca="false">ROUND(D10*$B$1,0)</f>
        <v>225</v>
      </c>
      <c r="F10" s="8" t="n">
        <v>2.4</v>
      </c>
      <c r="G10" s="8" t="n">
        <v>1</v>
      </c>
      <c r="H10" s="8"/>
      <c r="I10" s="8"/>
      <c r="J10" s="8"/>
      <c r="K10" s="8" t="n">
        <v>2</v>
      </c>
      <c r="L10" s="7" t="n">
        <f aca="false">K10*$D$1</f>
        <v>4</v>
      </c>
      <c r="M10" s="8" t="n">
        <v>2</v>
      </c>
      <c r="N10" s="7" t="s">
        <v>320</v>
      </c>
      <c r="O10" s="6" t="s">
        <v>321</v>
      </c>
      <c r="P10" s="10"/>
    </row>
    <row r="11" customFormat="false" ht="68.65" hidden="false" customHeight="false" outlineLevel="0" collapsed="false">
      <c r="A11" s="6" t="s">
        <v>322</v>
      </c>
      <c r="B11" s="7" t="s">
        <v>296</v>
      </c>
      <c r="C11" s="7" t="s">
        <v>323</v>
      </c>
      <c r="D11" s="8" t="n">
        <v>14</v>
      </c>
      <c r="E11" s="7" t="n">
        <f aca="false">ROUND(D11*$B$1,0)</f>
        <v>35</v>
      </c>
      <c r="F11" s="8" t="n">
        <v>4.2</v>
      </c>
      <c r="G11" s="8" t="n">
        <v>1</v>
      </c>
      <c r="H11" s="8"/>
      <c r="I11" s="8"/>
      <c r="J11" s="8"/>
      <c r="K11" s="8" t="n">
        <v>0.5</v>
      </c>
      <c r="L11" s="7" t="n">
        <f aca="false">K11*$D$1</f>
        <v>1</v>
      </c>
      <c r="M11" s="8" t="n">
        <v>1</v>
      </c>
      <c r="N11" s="7"/>
      <c r="O11" s="6" t="s">
        <v>324</v>
      </c>
      <c r="P11" s="10"/>
    </row>
    <row r="12" customFormat="false" ht="176.1" hidden="false" customHeight="false" outlineLevel="0" collapsed="false">
      <c r="A12" s="11" t="s">
        <v>325</v>
      </c>
      <c r="B12" s="12" t="s">
        <v>326</v>
      </c>
      <c r="C12" s="12" t="s">
        <v>327</v>
      </c>
      <c r="D12" s="13" t="n">
        <v>900</v>
      </c>
      <c r="E12" s="12" t="s">
        <v>328</v>
      </c>
      <c r="F12" s="13" t="n">
        <v>0.8</v>
      </c>
      <c r="G12" s="13" t="n">
        <v>1</v>
      </c>
      <c r="H12" s="13" t="n">
        <v>1</v>
      </c>
      <c r="I12" s="13" t="n">
        <v>7</v>
      </c>
      <c r="J12" s="13"/>
      <c r="K12" s="13" t="n">
        <v>4</v>
      </c>
      <c r="L12" s="11" t="s">
        <v>329</v>
      </c>
      <c r="M12" s="13"/>
      <c r="N12" s="12" t="s">
        <v>330</v>
      </c>
      <c r="O12" s="11" t="s">
        <v>331</v>
      </c>
      <c r="P12" s="10"/>
    </row>
    <row r="13" customFormat="false" ht="82.05" hidden="false" customHeight="false" outlineLevel="0" collapsed="false">
      <c r="A13" s="11" t="s">
        <v>332</v>
      </c>
      <c r="B13" s="12" t="s">
        <v>333</v>
      </c>
      <c r="C13" s="12" t="s">
        <v>327</v>
      </c>
      <c r="D13" s="13" t="n">
        <v>1000</v>
      </c>
      <c r="E13" s="12" t="s">
        <v>328</v>
      </c>
      <c r="F13" s="13" t="n">
        <v>2.2</v>
      </c>
      <c r="G13" s="13" t="n">
        <v>1</v>
      </c>
      <c r="H13" s="13" t="n">
        <v>1</v>
      </c>
      <c r="I13" s="13" t="n">
        <v>8</v>
      </c>
      <c r="J13" s="13"/>
      <c r="K13" s="13" t="n">
        <v>4</v>
      </c>
      <c r="L13" s="11" t="s">
        <v>329</v>
      </c>
      <c r="M13" s="13"/>
      <c r="N13" s="12" t="s">
        <v>334</v>
      </c>
      <c r="O13" s="11" t="s">
        <v>335</v>
      </c>
      <c r="P13" s="10"/>
    </row>
    <row r="14" customFormat="false" ht="82.05" hidden="false" customHeight="false" outlineLevel="0" collapsed="false">
      <c r="A14" s="11" t="s">
        <v>336</v>
      </c>
      <c r="B14" s="12" t="s">
        <v>337</v>
      </c>
      <c r="C14" s="12" t="s">
        <v>327</v>
      </c>
      <c r="D14" s="13" t="n">
        <v>1300</v>
      </c>
      <c r="E14" s="12" t="s">
        <v>328</v>
      </c>
      <c r="F14" s="13" t="n">
        <v>0</v>
      </c>
      <c r="G14" s="13" t="n">
        <v>1</v>
      </c>
      <c r="H14" s="13" t="n">
        <v>1</v>
      </c>
      <c r="I14" s="13" t="n">
        <v>6.5</v>
      </c>
      <c r="J14" s="13"/>
      <c r="K14" s="13" t="n">
        <v>4</v>
      </c>
      <c r="L14" s="11" t="s">
        <v>329</v>
      </c>
      <c r="M14" s="13"/>
      <c r="N14" s="12" t="s">
        <v>338</v>
      </c>
      <c r="O14" s="11" t="s">
        <v>339</v>
      </c>
      <c r="P1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340</v>
      </c>
      <c r="E1" s="5" t="s">
        <v>341</v>
      </c>
      <c r="F1" s="5" t="s">
        <v>342</v>
      </c>
      <c r="G1" s="5" t="s">
        <v>283</v>
      </c>
      <c r="H1" s="5" t="s">
        <v>343</v>
      </c>
      <c r="I1" s="5" t="s">
        <v>344</v>
      </c>
      <c r="J1" s="5" t="s">
        <v>282</v>
      </c>
      <c r="K1" s="5" t="s">
        <v>345</v>
      </c>
      <c r="L1" s="5" t="s">
        <v>346</v>
      </c>
      <c r="M1" s="5" t="s">
        <v>347</v>
      </c>
      <c r="N1" s="5" t="s">
        <v>348</v>
      </c>
      <c r="O1" s="5" t="s">
        <v>32</v>
      </c>
    </row>
    <row r="2" customFormat="false" ht="15" hidden="false" customHeight="false" outlineLevel="0" collapsed="false">
      <c r="A2" s="6" t="s">
        <v>349</v>
      </c>
      <c r="B2" s="7" t="s">
        <v>350</v>
      </c>
      <c r="C2" s="8" t="n">
        <v>1</v>
      </c>
      <c r="D2" s="7" t="s">
        <v>351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352</v>
      </c>
      <c r="B3" s="7" t="s">
        <v>353</v>
      </c>
      <c r="C3" s="8" t="n">
        <v>2</v>
      </c>
      <c r="D3" s="7" t="s">
        <v>354</v>
      </c>
      <c r="E3" s="8" t="n">
        <v>4.5</v>
      </c>
      <c r="F3" s="8" t="n">
        <v>1</v>
      </c>
      <c r="G3" s="8" t="n">
        <v>0.09</v>
      </c>
      <c r="H3" s="8" t="n">
        <v>24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50</v>
      </c>
      <c r="N3" s="7"/>
      <c r="O3" s="10"/>
    </row>
    <row r="4" customFormat="false" ht="55.2" hidden="false" customHeight="false" outlineLevel="0" collapsed="false">
      <c r="A4" s="6" t="s">
        <v>355</v>
      </c>
      <c r="B4" s="7" t="s">
        <v>356</v>
      </c>
      <c r="C4" s="8" t="n">
        <v>3</v>
      </c>
      <c r="D4" s="7" t="s">
        <v>357</v>
      </c>
      <c r="E4" s="8" t="n">
        <v>15</v>
      </c>
      <c r="F4" s="8" t="n">
        <v>5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121</v>
      </c>
      <c r="N4" s="7" t="s">
        <v>358</v>
      </c>
      <c r="O4" s="10"/>
    </row>
    <row r="5" customFormat="false" ht="28.35" hidden="false" customHeight="false" outlineLevel="0" collapsed="false">
      <c r="A5" s="6" t="s">
        <v>359</v>
      </c>
      <c r="B5" s="7" t="s">
        <v>360</v>
      </c>
      <c r="C5" s="8" t="n">
        <v>4</v>
      </c>
      <c r="D5" s="7" t="s">
        <v>361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362</v>
      </c>
      <c r="O5" s="10"/>
    </row>
    <row r="6" customFormat="false" ht="55.2" hidden="false" customHeight="false" outlineLevel="0" collapsed="false">
      <c r="A6" s="6" t="s">
        <v>363</v>
      </c>
      <c r="B6" s="7" t="s">
        <v>364</v>
      </c>
      <c r="C6" s="8" t="n">
        <v>5</v>
      </c>
      <c r="D6" s="7" t="s">
        <v>365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329</v>
      </c>
      <c r="K6" s="8" t="s">
        <v>329</v>
      </c>
      <c r="L6" s="8" t="n">
        <v>0</v>
      </c>
      <c r="M6" s="7" t="n">
        <f aca="false">ROUND(E6*F6/G6,1)</f>
        <v>50</v>
      </c>
      <c r="N6" s="7" t="s">
        <v>366</v>
      </c>
      <c r="O6" s="10"/>
    </row>
    <row r="7" customFormat="false" ht="41.75" hidden="false" customHeight="false" outlineLevel="0" collapsed="false">
      <c r="A7" s="6" t="s">
        <v>313</v>
      </c>
      <c r="B7" s="7" t="s">
        <v>367</v>
      </c>
      <c r="C7" s="8" t="n">
        <v>6</v>
      </c>
      <c r="D7" s="7" t="s">
        <v>368</v>
      </c>
      <c r="E7" s="8" t="n">
        <v>20</v>
      </c>
      <c r="F7" s="8" t="n">
        <v>1</v>
      </c>
      <c r="G7" s="8" t="n">
        <v>0.55</v>
      </c>
      <c r="H7" s="8" t="n">
        <v>4</v>
      </c>
      <c r="I7" s="8" t="n">
        <v>1</v>
      </c>
      <c r="J7" s="8" t="n">
        <v>20</v>
      </c>
      <c r="K7" s="8" t="n">
        <v>0.38</v>
      </c>
      <c r="L7" s="8" t="n">
        <v>0</v>
      </c>
      <c r="M7" s="7" t="n">
        <f aca="false">ROUND(E7*F7/G7,1)</f>
        <v>36.4</v>
      </c>
      <c r="N7" s="7" t="s">
        <v>369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2026-10-01T09:37:43Z</dcterms:created>
  <dc:creator>openpyxl</dc:creator>
  <dc:description/>
  <dc:language>en-US</dc:language>
  <cp:lastModifiedBy/>
  <dcterms:modified xsi:type="dcterms:W3CDTF">2026-10-01T09:37:43Z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