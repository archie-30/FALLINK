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說明" sheetId="1" state="visible" r:id="rId3"/>
    <sheet name="卡牌" sheetId="2" state="visible" r:id="rId4"/>
    <sheet name="敵人與頭目" sheetId="3" state="visible" r:id="rId5"/>
    <sheet name="武器" sheetId="4" state="visible" r:id="rId6"/>
    <sheet name="小遊戲" sheetId="5" state="visible" r:id="rId7"/>
    <sheet name="小遊戲獎懲" sheetId="6" state="visible" r:id="rId8"/>
  </sheets>
  <definedNames>
    <definedName function="false" hidden="true" localSheetId="1" name="_xlnm._FilterDatabase" vbProcedure="false">卡牌!$A$1:$P$38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TUNING.elite.hp</t>
        </r>
      </text>
    </comment>
    <comment ref="D1" authorId="0">
      <text>
        <r>
          <rPr>
            <sz val="10"/>
            <rFont val="WenQuanYi Zen Hei"/>
            <family val="2"/>
          </rPr>
          <t xml:space="preserve">來源：</t>
        </r>
        <r>
          <rPr>
            <sz val="10"/>
            <rFont val="Arial"/>
            <family val="2"/>
          </rPr>
          <t xml:space="preserve">src/data/tuning.js TUNING.ink.eliteMult</t>
        </r>
      </text>
    </comment>
  </commentList>
</comments>
</file>

<file path=xl/sharedStrings.xml><?xml version="1.0" encoding="utf-8"?>
<sst xmlns="http://schemas.openxmlformats.org/spreadsheetml/2006/main" count="655" uniqueCount="476">
  <si>
    <r>
      <rPr>
        <b val="true"/>
        <sz val="14"/>
        <rFont val="Arial"/>
        <family val="0"/>
        <charset val="1"/>
      </rPr>
      <t xml:space="preserve">INKRAGE </t>
    </r>
    <r>
      <rPr>
        <b val="true"/>
        <sz val="14"/>
        <rFont val="WenQuanYi Zen Hei"/>
        <family val="2"/>
      </rPr>
      <t xml:space="preserve">數值表（</t>
    </r>
    <r>
      <rPr>
        <b val="true"/>
        <sz val="14"/>
        <rFont val="Arial"/>
        <family val="0"/>
        <charset val="1"/>
      </rPr>
      <t xml:space="preserve">beta v0.7.07</t>
    </r>
    <r>
      <rPr>
        <b val="true"/>
        <sz val="14"/>
        <rFont val="WenQuanYi Zen Hei"/>
        <family val="2"/>
      </rPr>
      <t xml:space="preserve">）</t>
    </r>
  </si>
  <si>
    <t xml:space="preserve">用途</t>
  </si>
  <si>
    <r>
      <rPr>
        <sz val="11"/>
        <rFont val="WenQuanYi Zen Hei"/>
        <family val="2"/>
      </rPr>
      <t xml:space="preserve">手動做平衡性調整用。數值直接取自遊戲原始碼（</t>
    </r>
    <r>
      <rPr>
        <sz val="11"/>
        <rFont val="Arial"/>
        <family val="0"/>
        <charset val="1"/>
      </rPr>
      <t xml:space="preserve">src/data/cards.js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enemies.js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weapons.js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tuning.js</t>
    </r>
    <r>
      <rPr>
        <sz val="11"/>
        <rFont val="WenQuanYi Zen Hei"/>
        <family val="2"/>
      </rPr>
      <t xml:space="preserve">），與 </t>
    </r>
    <r>
      <rPr>
        <sz val="11"/>
        <rFont val="Arial"/>
        <family val="0"/>
        <charset val="1"/>
      </rPr>
      <t xml:space="preserve">beta v0.7.07 </t>
    </r>
    <r>
      <rPr>
        <sz val="11"/>
        <rFont val="WenQuanYi Zen Hei"/>
        <family val="2"/>
      </rPr>
      <t xml:space="preserve">一致。</t>
    </r>
  </si>
  <si>
    <t xml:space="preserve">怎麼填</t>
  </si>
  <si>
    <r>
      <rPr>
        <sz val="11"/>
        <rFont val="WenQuanYi Zen Hei"/>
        <family val="2"/>
      </rPr>
      <t xml:space="preserve">在每個分頁最右邊的黃色「修改建議」欄寫下想改的內容即可，例如「傷害 </t>
    </r>
    <r>
      <rPr>
        <sz val="11"/>
        <rFont val="Arial"/>
        <family val="0"/>
        <charset val="1"/>
      </rPr>
      <t xml:space="preserve">14→12</t>
    </r>
    <r>
      <rPr>
        <sz val="11"/>
        <rFont val="WenQuanYi Zen Hei"/>
        <family val="2"/>
      </rPr>
      <t xml:space="preserve">」「費用 </t>
    </r>
    <r>
      <rPr>
        <sz val="11"/>
        <rFont val="Arial"/>
        <family val="0"/>
        <charset val="1"/>
      </rPr>
      <t xml:space="preserve">2→3</t>
    </r>
    <r>
      <rPr>
        <sz val="11"/>
        <rFont val="WenQuanYi Zen Hei"/>
        <family val="2"/>
      </rPr>
      <t xml:space="preserve">」。也可以直接改藍色數字，交回時我會照著改進遊戲。</t>
    </r>
  </si>
  <si>
    <t xml:space="preserve">顏色</t>
  </si>
  <si>
    <t xml:space="preserve">藍色字＝遊戲中的實際設定值（可改）；黑色字＝公式或文字說明（自動計算，不用改）；黃色底＝修改建議欄；淡紅底＝特殊技／頭目。</t>
  </si>
  <si>
    <t xml:space="preserve">卡牌</t>
  </si>
  <si>
    <r>
      <rPr>
        <sz val="11"/>
        <rFont val="WenQuanYi Zen Hei"/>
        <family val="2"/>
      </rPr>
      <t xml:space="preserve">「一般牌」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張手牌輪替；「特殊技」佔第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格。強化版＝牌組中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張相同的牌合成；特殊技強化只會費用 </t>
    </r>
    <r>
      <rPr>
        <sz val="11"/>
        <rFont val="Arial"/>
        <family val="0"/>
        <charset val="1"/>
      </rPr>
      <t xml:space="preserve">-1</t>
    </r>
    <r>
      <rPr>
        <sz val="11"/>
        <rFont val="WenQuanYi Zen Hei"/>
        <family val="2"/>
      </rPr>
      <t xml:space="preserve">，效果不變。</t>
    </r>
  </si>
  <si>
    <t xml:space="preserve">墨水</t>
  </si>
  <si>
    <r>
      <rPr>
        <sz val="11"/>
        <rFont val="WenQuanYi Zen Hei"/>
        <family val="2"/>
      </rPr>
      <t xml:space="preserve">上限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，開局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。擊殺敵人給墨水（精英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），頭目關卡會掉落墨水。</t>
    </r>
  </si>
  <si>
    <t xml:space="preserve">敵人</t>
  </si>
  <si>
    <r>
      <rPr>
        <sz val="11"/>
        <rFont val="WenQuanYi Zen Hei"/>
        <family val="2"/>
      </rPr>
      <t xml:space="preserve">生命為第一幕基礎值，之後的關卡會逐步提高。精英倍率：生命 </t>
    </r>
    <r>
      <rPr>
        <sz val="11"/>
        <rFont val="Arial"/>
        <family val="0"/>
        <charset val="1"/>
      </rPr>
      <t xml:space="preserve">×2.5</t>
    </r>
    <r>
      <rPr>
        <sz val="11"/>
        <rFont val="WenQuanYi Zen Hei"/>
        <family val="2"/>
      </rPr>
      <t xml:space="preserve">、體型 </t>
    </r>
    <r>
      <rPr>
        <sz val="11"/>
        <rFont val="Arial"/>
        <family val="0"/>
        <charset val="1"/>
      </rPr>
      <t xml:space="preserve">×1.3</t>
    </r>
    <r>
      <rPr>
        <sz val="11"/>
        <rFont val="WenQuanYi Zen Hei"/>
        <family val="2"/>
      </rPr>
      <t xml:space="preserve">、擊殺墨水 </t>
    </r>
    <r>
      <rPr>
        <sz val="11"/>
        <rFont val="Arial"/>
        <family val="0"/>
        <charset val="1"/>
      </rPr>
      <t xml:space="preserve">×2</t>
    </r>
    <r>
      <rPr>
        <sz val="11"/>
        <rFont val="WenQuanYi Zen Hei"/>
        <family val="2"/>
      </rPr>
      <t xml:space="preserve">、分數 </t>
    </r>
    <r>
      <rPr>
        <sz val="11"/>
        <rFont val="Arial"/>
        <family val="0"/>
        <charset val="1"/>
      </rPr>
      <t xml:space="preserve">×3</t>
    </r>
    <r>
      <rPr>
        <sz val="11"/>
        <rFont val="WenQuanYi Zen Hei"/>
        <family val="2"/>
      </rPr>
      <t xml:space="preserve">、受擊退 </t>
    </r>
    <r>
      <rPr>
        <sz val="11"/>
        <rFont val="Arial"/>
        <family val="0"/>
        <charset val="1"/>
      </rPr>
      <t xml:space="preserve">×0.3</t>
    </r>
    <r>
      <rPr>
        <sz val="11"/>
        <rFont val="WenQuanYi Zen Hei"/>
        <family val="2"/>
      </rPr>
      <t xml:space="preserve">。玩家生命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，敵人子彈與碰撞大多造成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點傷害。</t>
    </r>
  </si>
  <si>
    <t xml:space="preserve">武器</t>
  </si>
  <si>
    <r>
      <rPr>
        <sz val="11"/>
        <rFont val="WenQuanYi Zen Hei"/>
        <family val="2"/>
      </rPr>
      <t xml:space="preserve">理論 </t>
    </r>
    <r>
      <rPr>
        <sz val="11"/>
        <rFont val="Arial"/>
        <family val="0"/>
        <charset val="1"/>
      </rPr>
      <t xml:space="preserve">DPS</t>
    </r>
    <r>
      <rPr>
        <sz val="11"/>
        <rFont val="WenQuanYi Zen Hei"/>
        <family val="2"/>
      </rPr>
      <t xml:space="preserve">＝每發傷害 </t>
    </r>
    <r>
      <rPr>
        <sz val="11"/>
        <rFont val="Arial"/>
        <family val="0"/>
        <charset val="1"/>
      </rPr>
      <t xml:space="preserve">× </t>
    </r>
    <r>
      <rPr>
        <sz val="11"/>
        <rFont val="WenQuanYi Zen Hei"/>
        <family val="2"/>
      </rPr>
      <t xml:space="preserve">每次擊發子彈數 </t>
    </r>
    <r>
      <rPr>
        <sz val="11"/>
        <rFont val="Arial"/>
        <family val="0"/>
        <charset val="1"/>
      </rPr>
      <t xml:space="preserve">÷ </t>
    </r>
    <r>
      <rPr>
        <sz val="11"/>
        <rFont val="WenQuanYi Zen Hei"/>
        <family val="2"/>
      </rPr>
      <t xml:space="preserve">射擊間隔，假設全部命中、不含換彈；毛筆需近身全中、圓規去回可命中兩次。連射卡的射速上限是每 </t>
    </r>
    <r>
      <rPr>
        <sz val="11"/>
        <rFont val="Arial"/>
        <family val="0"/>
        <charset val="1"/>
      </rPr>
      <t xml:space="preserve">0.06 </t>
    </r>
    <r>
      <rPr>
        <sz val="11"/>
        <rFont val="WenQuanYi Zen Hei"/>
        <family val="2"/>
      </rPr>
      <t xml:space="preserve">秒一發。螢光筆為光束，子彈速度／存活欄位不適用。</t>
    </r>
  </si>
  <si>
    <t xml:space="preserve">範例</t>
  </si>
  <si>
    <t xml:space="preserve">卡牌分頁「散射」那一列的修改建議欄示範了填寫格式。</t>
  </si>
  <si>
    <t xml:space="preserve">ID</t>
  </si>
  <si>
    <t xml:space="preserve">名稱</t>
  </si>
  <si>
    <t xml:space="preserve">分類</t>
  </si>
  <si>
    <t xml:space="preserve">類型</t>
  </si>
  <si>
    <t xml:space="preserve">施放方式</t>
  </si>
  <si>
    <t xml:space="preserve">瞄準</t>
  </si>
  <si>
    <t xml:space="preserve">距離</t>
  </si>
  <si>
    <t xml:space="preserve">解鎖等級</t>
  </si>
  <si>
    <t xml:space="preserve">初始牌張數</t>
  </si>
  <si>
    <t xml:space="preserve">費用</t>
  </si>
  <si>
    <t xml:space="preserve">強化費用</t>
  </si>
  <si>
    <t xml:space="preserve">參數（基本）</t>
  </si>
  <si>
    <t xml:space="preserve">參數（強化）</t>
  </si>
  <si>
    <t xml:space="preserve">效果說明（基本）</t>
  </si>
  <si>
    <t xml:space="preserve">效果說明（強化）</t>
  </si>
  <si>
    <t xml:space="preserve">修改建議</t>
  </si>
  <si>
    <t xml:space="preserve">scatter</t>
  </si>
  <si>
    <t xml:space="preserve">散射</t>
  </si>
  <si>
    <t xml:space="preserve">一般牌</t>
  </si>
  <si>
    <t xml:space="preserve">攻擊</t>
  </si>
  <si>
    <t xml:space="preserve">發射</t>
  </si>
  <si>
    <t xml:space="preserve">指定方向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</si>
  <si>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26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</si>
  <si>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擴散角：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16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28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</si>
  <si>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</si>
  <si>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朝指定方向射出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發擴散墨彈，每發 </t>
    </r>
    <r>
      <rPr>
        <sz val="11"/>
        <rFont val="Arial"/>
        <family val="0"/>
        <charset val="1"/>
      </rPr>
      <t xml:space="preserve">16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</si>
  <si>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例：強化版擴散角 </t>
    </r>
    <r>
      <rPr>
        <sz val="11"/>
        <rFont val="Arial"/>
        <family val="0"/>
        <charset val="1"/>
      </rPr>
      <t xml:space="preserve">0.85 </t>
    </r>
    <r>
      <rPr>
        <sz val="11"/>
        <rFont val="WenQuanYi Zen Hei"/>
        <family val="2"/>
      </rPr>
      <t xml:space="preserve">太散，改成 </t>
    </r>
    <r>
      <rPr>
        <sz val="11"/>
        <rFont val="Arial"/>
        <family val="0"/>
        <charset val="1"/>
      </rPr>
      <t xml:space="preserve">0.75</t>
    </r>
  </si>
  <si>
    <t xml:space="preserve">pierce</t>
  </si>
  <si>
    <t xml:space="preserve">穿透筆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</si>
  <si>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45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34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25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</si>
  <si>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速度：</t>
    </r>
    <r>
      <rPr>
        <sz val="11"/>
        <color rgb="FF0000FF"/>
        <rFont val="Arial"/>
        <family val="0"/>
        <charset val="1"/>
      </rPr>
      <t xml:space="preserve">36
ramp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35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</si>
  <si>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45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25%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</si>
  <si>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射出巨型筆尖，穿過牆壁並貫穿路徑上所有敵人，造成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傷害；每貫穿一名敵人，傷害再提升 </t>
    </r>
    <r>
      <rPr>
        <sz val="11"/>
        <rFont val="Arial"/>
        <family val="0"/>
        <charset val="1"/>
      </rPr>
      <t xml:space="preserve">35%</t>
    </r>
    <r>
      <rPr>
        <sz val="11"/>
        <rFont val="WenQuanYi Zen Hei"/>
        <family val="2"/>
      </rPr>
      <t xml:space="preserve">。</t>
    </r>
  </si>
  <si>
    <t xml:space="preserve">homing</t>
  </si>
  <si>
    <t xml:space="preserve">追蹤墨點</t>
  </si>
  <si>
    <t xml:space="preserve">不需瞄準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</si>
  <si>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</si>
  <si>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</si>
  <si>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</si>
  <si>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放出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顆自動追蹤敵人的墨點，每顆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傷害。</t>
    </r>
  </si>
  <si>
    <t xml:space="preserve">bomb</t>
  </si>
  <si>
    <t xml:space="preserve">爆墨</t>
  </si>
  <si>
    <t xml:space="preserve">投擲（拋物線）</t>
  </si>
  <si>
    <t xml:space="preserve">指定地點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</si>
  <si>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</si>
  <si>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55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</si>
  <si>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</si>
  <si>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投出墨水炸彈，半徑 </t>
    </r>
    <r>
      <rPr>
        <sz val="11"/>
        <rFont val="Arial"/>
        <family val="0"/>
        <charset val="1"/>
      </rPr>
      <t xml:space="preserve">3.8 </t>
    </r>
    <r>
      <rPr>
        <sz val="11"/>
        <rFont val="WenQuanYi Zen Hei"/>
        <family val="2"/>
      </rPr>
      <t xml:space="preserve">內造成最多 </t>
    </r>
    <r>
      <rPr>
        <sz val="11"/>
        <rFont val="Arial"/>
        <family val="0"/>
        <charset val="1"/>
      </rPr>
      <t xml:space="preserve">55 </t>
    </r>
    <r>
      <rPr>
        <sz val="11"/>
        <rFont val="WenQuanYi Zen Hei"/>
        <family val="2"/>
      </rPr>
      <t xml:space="preserve">傷害。</t>
    </r>
  </si>
  <si>
    <t xml:space="preserve">rapid</t>
  </si>
  <si>
    <t xml:space="preserve">連射</t>
  </si>
  <si>
    <t xml:space="preserve">強化自身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</si>
  <si>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</si>
  <si>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</si>
  <si>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</si>
  <si>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秒內射速提升為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</si>
  <si>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pencilWall</t>
  </si>
  <si>
    <t xml:space="preserve">鉛筆牆</t>
  </si>
  <si>
    <t xml:space="preserve">地形</t>
  </si>
  <si>
    <t xml:space="preserve">繪製</t>
  </si>
  <si>
    <t xml:space="preserve">畫路徑</t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</si>
  <si>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</si>
  <si>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耐久：</t>
    </r>
    <r>
      <rPr>
        <sz val="11"/>
        <color rgb="FF0000FF"/>
        <rFont val="Arial"/>
        <family val="0"/>
        <charset val="1"/>
      </rPr>
      <t xml:space="preserve">10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</si>
  <si>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6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</si>
  <si>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在地上畫出最長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的路徑，長出一道擋住敵彈的牆（耐久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</si>
  <si>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eraser</t>
  </si>
  <si>
    <t xml:space="preserve">橡皮擦</t>
  </si>
  <si>
    <t xml:space="preserve">扇形／直線掃擊</t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</si>
  <si>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</si>
  <si>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角度：</t>
    </r>
    <r>
      <rPr>
        <sz val="11"/>
        <color rgb="FF0000FF"/>
        <rFont val="Arial"/>
        <family val="0"/>
        <charset val="1"/>
      </rPr>
      <t xml:space="preserve">1.8</t>
    </r>
  </si>
  <si>
    <t xml:space="preserve">朝指定方向揮動橡皮擦，擦掉扇形範圍內所有敵彈。</t>
  </si>
  <si>
    <t xml:space="preserve">（同基本）</t>
  </si>
  <si>
    <t xml:space="preserve">eraseCover</t>
  </si>
  <si>
    <t xml:space="preserve">擦除掩體</t>
  </si>
  <si>
    <t xml:space="preserve">指定目標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</si>
  <si>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</si>
  <si>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</si>
  <si>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內的一塊掩體或牆。</t>
    </r>
  </si>
  <si>
    <r>
      <rPr>
        <sz val="11"/>
        <rFont val="WenQuanYi Zen Hei"/>
        <family val="2"/>
      </rPr>
      <t xml:space="preserve">擦掉目標附近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內的一塊掩體或牆。</t>
    </r>
  </si>
  <si>
    <t xml:space="preserve">trap</t>
  </si>
  <si>
    <t xml:space="preserve">陷阱圈</t>
  </si>
  <si>
    <t xml:space="preserve">放置在地上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</si>
  <si>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0.35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65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</si>
  <si>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減速：</t>
    </r>
    <r>
      <rPr>
        <sz val="11"/>
        <color rgb="FF0000FF"/>
        <rFont val="Arial"/>
        <family val="0"/>
        <charset val="1"/>
      </rPr>
      <t xml:space="preserve">0.25
</t>
    </r>
    <r>
      <rPr>
        <sz val="11"/>
        <color rgb="FF0000FF"/>
        <rFont val="WenQuanYi Zen Hei"/>
        <family val="2"/>
      </rPr>
      <t xml:space="preserve">百分比：</t>
    </r>
    <r>
      <rPr>
        <sz val="11"/>
        <color rgb="FF0000FF"/>
        <rFont val="Arial"/>
        <family val="0"/>
        <charset val="1"/>
      </rPr>
      <t xml:space="preserve">75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</si>
  <si>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65%</t>
    </r>
    <r>
      <rPr>
        <sz val="11"/>
        <rFont val="WenQuanYi Zen Hei"/>
        <family val="2"/>
      </rPr>
      <t xml:space="preserve">。</t>
    </r>
  </si>
  <si>
    <r>
      <rPr>
        <sz val="11"/>
        <rFont val="WenQuanYi Zen Hei"/>
        <family val="2"/>
      </rPr>
      <t xml:space="preserve">在地上畫一個圈，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秒內圈中敵人減速 </t>
    </r>
    <r>
      <rPr>
        <sz val="11"/>
        <rFont val="Arial"/>
        <family val="0"/>
        <charset val="1"/>
      </rPr>
      <t xml:space="preserve">75%</t>
    </r>
    <r>
      <rPr>
        <sz val="11"/>
        <rFont val="WenQuanYi Zen Hei"/>
        <family val="2"/>
      </rPr>
      <t xml:space="preserve">。</t>
    </r>
  </si>
  <si>
    <t xml:space="preserve">paperShield</t>
  </si>
  <si>
    <t xml:space="preserve">紙盾</t>
  </si>
  <si>
    <t xml:space="preserve">防禦</t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</si>
  <si>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</si>
  <si>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抵擋次數：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</si>
  <si>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片環繞的紙盾，每片可抵擋一次攻擊。</t>
    </r>
  </si>
  <si>
    <r>
      <rPr>
        <sz val="11"/>
        <rFont val="WenQuanYi Zen Hei"/>
        <family val="2"/>
      </rPr>
      <t xml:space="preserve">召喚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片環繞的紙盾，每片可抵擋一次攻擊。</t>
    </r>
  </si>
  <si>
    <t xml:space="preserve">inkDash</t>
  </si>
  <si>
    <t xml:space="preserve">閃避墨跡</t>
  </si>
  <si>
    <t xml:space="preserve">衝刺</t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</si>
  <si>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</si>
  <si>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</si>
  <si>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</si>
  <si>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朝指定方向衝刺，留下墨跡，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傷害。</t>
    </r>
  </si>
  <si>
    <t xml:space="preserve">timeStop</t>
  </si>
  <si>
    <t xml:space="preserve">時停</t>
  </si>
  <si>
    <t xml:space="preserve">輔助</t>
  </si>
  <si>
    <t xml:space="preserve">全場效果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</si>
  <si>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</si>
  <si>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</si>
  <si>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秒，世界翻轉為負片。</t>
    </r>
  </si>
  <si>
    <r>
      <rPr>
        <sz val="11"/>
        <rFont val="WenQuanYi Zen Hei"/>
        <family val="2"/>
      </rPr>
      <t xml:space="preserve">凍結所有敵彈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秒，世界翻轉為負片。</t>
    </r>
  </si>
  <si>
    <t xml:space="preserve">clone</t>
  </si>
  <si>
    <t xml:space="preserve">分身</t>
  </si>
  <si>
    <t xml:space="preserve">召喚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</si>
  <si>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</si>
  <si>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</si>
  <si>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</si>
  <si>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在目標位置畫出一個分身，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秒內自動射擊（每發 </t>
    </r>
    <r>
      <rPr>
        <sz val="11"/>
        <rFont val="Arial"/>
        <family val="0"/>
        <charset val="1"/>
      </rPr>
      <t xml:space="preserve">10</t>
    </r>
    <r>
      <rPr>
        <sz val="11"/>
        <rFont val="WenQuanYi Zen Hei"/>
        <family val="2"/>
      </rPr>
      <t xml:space="preserve">）。</t>
    </r>
  </si>
  <si>
    <t xml:space="preserve">whiteout</t>
  </si>
  <si>
    <t xml:space="preserve">修正液</t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</si>
  <si>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</si>
  <si>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回復：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</si>
  <si>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點生命。</t>
    </r>
  </si>
  <si>
    <r>
      <rPr>
        <sz val="11"/>
        <rFont val="WenQuanYi Zen Hei"/>
        <family val="2"/>
      </rPr>
      <t xml:space="preserve">塗上修正液，回復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點生命。</t>
    </r>
  </si>
  <si>
    <t xml:space="preserve">shockwave</t>
  </si>
  <si>
    <t xml:space="preserve">衝擊波</t>
  </si>
  <si>
    <t xml:space="preserve">以自己為中心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</si>
  <si>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15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</si>
  <si>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擊退力：</t>
    </r>
    <r>
      <rPr>
        <sz val="11"/>
        <color rgb="FF0000FF"/>
        <rFont val="Arial"/>
        <family val="0"/>
        <charset val="1"/>
      </rPr>
      <t xml:space="preserve">16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</si>
  <si>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15 </t>
    </r>
    <r>
      <rPr>
        <sz val="11"/>
        <rFont val="WenQuanYi Zen Hei"/>
        <family val="2"/>
      </rPr>
      <t xml:space="preserve">傷害，同時擦掉附近敵彈。</t>
    </r>
  </si>
  <si>
    <r>
      <rPr>
        <sz val="11"/>
        <rFont val="WenQuanYi Zen Hei"/>
        <family val="2"/>
      </rPr>
      <t xml:space="preserve">以自己為中心震開半徑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內的敵人並造成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傷害，同時擦掉附近敵彈。</t>
    </r>
  </si>
  <si>
    <t xml:space="preserve">mark</t>
  </si>
  <si>
    <t xml:space="preserve">標記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</si>
  <si>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</si>
  <si>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</si>
  <si>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</si>
  <si>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r>
      <rPr>
        <sz val="11"/>
        <rFont val="WenQuanYi Zen Hei"/>
        <family val="2"/>
      </rPr>
      <t xml:space="preserve">標記目標附近的一名敵人，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秒內受到的傷害變為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倍。</t>
    </r>
  </si>
  <si>
    <t xml:space="preserve">haste</t>
  </si>
  <si>
    <t xml:space="preserve">疾筆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</si>
  <si>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1.4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</si>
  <si>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倍率：</t>
    </r>
    <r>
      <rPr>
        <sz val="11"/>
        <color rgb="FF0000FF"/>
        <rFont val="Arial"/>
        <family val="0"/>
        <charset val="1"/>
      </rPr>
      <t xml:space="preserve">1.5</t>
    </r>
  </si>
  <si>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1.4 </t>
    </r>
    <r>
      <rPr>
        <sz val="11"/>
        <rFont val="WenQuanYi Zen Hei"/>
        <family val="2"/>
      </rPr>
      <t xml:space="preserve">倍。</t>
    </r>
  </si>
  <si>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秒內移動速度與衝刺冷卻加快為 </t>
    </r>
    <r>
      <rPr>
        <sz val="11"/>
        <rFont val="Arial"/>
        <family val="0"/>
        <charset val="1"/>
      </rPr>
      <t xml:space="preserve">1.5 </t>
    </r>
    <r>
      <rPr>
        <sz val="11"/>
        <rFont val="WenQuanYi Zen Hei"/>
        <family val="2"/>
      </rPr>
      <t xml:space="preserve">倍。</t>
    </r>
  </si>
  <si>
    <t xml:space="preserve">inkMine</t>
  </si>
  <si>
    <t xml:space="preserve">墨水地雷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</si>
  <si>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50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</si>
  <si>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70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</si>
  <si>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50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</si>
  <si>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在地上埋一顆地雷，敵人靠近時爆炸，半徑 </t>
    </r>
    <r>
      <rPr>
        <sz val="11"/>
        <rFont val="Arial"/>
        <family val="0"/>
        <charset val="1"/>
      </rPr>
      <t xml:space="preserve">3.6 </t>
    </r>
    <r>
      <rPr>
        <sz val="11"/>
        <rFont val="WenQuanYi Zen Hei"/>
        <family val="2"/>
      </rPr>
      <t xml:space="preserve">內造成 </t>
    </r>
    <r>
      <rPr>
        <sz val="11"/>
        <rFont val="Arial"/>
        <family val="0"/>
        <charset val="1"/>
      </rPr>
      <t xml:space="preserve">70 </t>
    </r>
    <r>
      <rPr>
        <sz val="11"/>
        <rFont val="WenQuanYi Zen Hei"/>
        <family val="2"/>
      </rPr>
      <t xml:space="preserve">傷害。</t>
    </r>
  </si>
  <si>
    <t xml:space="preserve">blot</t>
  </si>
  <si>
    <t xml:space="preserve">吸墨紙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</si>
  <si>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</si>
  <si>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5.5
</t>
    </r>
    <r>
      <rPr>
        <sz val="11"/>
        <color rgb="FF0000FF"/>
        <rFont val="WenQuanYi Zen Hei"/>
        <family val="2"/>
      </rPr>
      <t xml:space="preserve">每次：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上限：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</si>
  <si>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3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</si>
  <si>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吸走身邊半徑 </t>
    </r>
    <r>
      <rPr>
        <sz val="11"/>
        <rFont val="Arial"/>
        <family val="0"/>
        <charset val="1"/>
      </rPr>
      <t xml:space="preserve">5.5 </t>
    </r>
    <r>
      <rPr>
        <sz val="11"/>
        <rFont val="WenQuanYi Zen Hei"/>
        <family val="2"/>
      </rPr>
      <t xml:space="preserve">內的所有敵彈，每吸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發獲得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墨水（最多 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）。</t>
    </r>
  </si>
  <si>
    <t xml:space="preserve">dualWield</t>
  </si>
  <si>
    <t xml:space="preserve">雙持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</si>
  <si>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</si>
  <si>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</si>
  <si>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秒內每次射擊都會同時射出兩發。</t>
    </r>
  </si>
  <si>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秒內每次射擊都會同時射出兩發。</t>
    </r>
  </si>
  <si>
    <t xml:space="preserve">pin</t>
  </si>
  <si>
    <t xml:space="preserve">釘住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</si>
  <si>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</si>
  <si>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</si>
  <si>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</si>
  <si>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把目標附近半徑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內的敵人釘在原地 </t>
    </r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</si>
  <si>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chain</t>
  </si>
  <si>
    <t xml:space="preserve">連鎖墨線</t>
  </si>
  <si>
    <t xml:space="preserve">連鎖跳躍</t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</si>
  <si>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25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</si>
  <si>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color rgb="FF0000FF"/>
        <rFont val="WenQuanYi Zen Hei"/>
        <family val="2"/>
      </rPr>
      <t xml:space="preserve">跳躍次數：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7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</si>
  <si>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25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</si>
  <si>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墨線在敵人之間跳躍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次，每次造成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傷害。</t>
    </r>
  </si>
  <si>
    <t xml:space="preserve">paperBlade</t>
  </si>
  <si>
    <t xml:space="preserve">紙飛刃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</si>
  <si>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22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</si>
  <si>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距離：</t>
    </r>
    <r>
      <rPr>
        <sz val="11"/>
        <color rgb="FF0000FF"/>
        <rFont val="Arial"/>
        <family val="0"/>
        <charset val="1"/>
      </rPr>
      <t xml:space="preserve">10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</si>
  <si>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傷害，並切掉碰到的敵彈。</t>
    </r>
  </si>
  <si>
    <r>
      <rPr>
        <sz val="11"/>
        <rFont val="WenQuanYi Zen Hei"/>
        <family val="2"/>
      </rPr>
      <t xml:space="preserve">擲出紙飛刃，飛出 </t>
    </r>
    <r>
      <rPr>
        <sz val="11"/>
        <rFont val="Arial"/>
        <family val="0"/>
        <charset val="1"/>
      </rPr>
      <t xml:space="preserve">10 </t>
    </r>
    <r>
      <rPr>
        <sz val="11"/>
        <rFont val="WenQuanYi Zen Hei"/>
        <family val="2"/>
      </rPr>
      <t xml:space="preserve">後折返；去程與回程各對路徑上的敵人造成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傷害，並切掉碰到的敵彈。</t>
    </r>
  </si>
  <si>
    <t xml:space="preserve">inkRain</t>
  </si>
  <si>
    <t xml:space="preserve">墨雨</t>
  </si>
  <si>
    <t xml:space="preserve">從天而降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</si>
  <si>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</si>
  <si>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</si>
  <si>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18 </t>
    </r>
    <r>
      <rPr>
        <sz val="11"/>
        <rFont val="WenQuanYi Zen Hei"/>
        <family val="2"/>
      </rPr>
      <t xml:space="preserve">範圍傷害。</t>
    </r>
  </si>
  <si>
    <r>
      <rPr>
        <sz val="11"/>
        <rFont val="WenQuanYi Zen Hei"/>
        <family val="2"/>
      </rPr>
      <t xml:space="preserve">在目標區域降下 </t>
    </r>
    <r>
      <rPr>
        <sz val="11"/>
        <rFont val="Arial"/>
        <family val="0"/>
        <charset val="1"/>
      </rPr>
      <t xml:space="preserve">11 </t>
    </r>
    <r>
      <rPr>
        <sz val="11"/>
        <rFont val="WenQuanYi Zen Hei"/>
        <family val="2"/>
      </rPr>
      <t xml:space="preserve">滴墨水，每滴造成 </t>
    </r>
    <r>
      <rPr>
        <sz val="11"/>
        <rFont val="Arial"/>
        <family val="0"/>
        <charset val="1"/>
      </rPr>
      <t xml:space="preserve">20 </t>
    </r>
    <r>
      <rPr>
        <sz val="11"/>
        <rFont val="WenQuanYi Zen Hei"/>
        <family val="2"/>
      </rPr>
      <t xml:space="preserve">範圍傷害。</t>
    </r>
  </si>
  <si>
    <t xml:space="preserve">inkField</t>
  </si>
  <si>
    <t xml:space="preserve">墨刺地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</si>
  <si>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24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</si>
  <si>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每秒傷害：</t>
    </r>
    <r>
      <rPr>
        <sz val="11"/>
        <color rgb="FF0000FF"/>
        <rFont val="Arial"/>
        <family val="0"/>
        <charset val="1"/>
      </rPr>
      <t xml:space="preserve">32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</si>
  <si>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24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</si>
  <si>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在目標處鋪一片半徑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的墨刺地，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秒內每秒對其中的地面敵人造成 </t>
    </r>
    <r>
      <rPr>
        <sz val="11"/>
        <rFont val="Arial"/>
        <family val="0"/>
        <charset val="1"/>
      </rPr>
      <t xml:space="preserve">32 </t>
    </r>
    <r>
      <rPr>
        <sz val="11"/>
        <rFont val="WenQuanYi Zen Hei"/>
        <family val="2"/>
      </rPr>
      <t xml:space="preserve">傷害。</t>
    </r>
  </si>
  <si>
    <t xml:space="preserve">reflect</t>
  </si>
  <si>
    <t xml:space="preserve">反彈紙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</si>
  <si>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4.5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</si>
  <si>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秒內，碰到你的敵彈會被反彈回去攻擊敵人。</t>
    </r>
  </si>
  <si>
    <r>
      <rPr>
        <sz val="11"/>
        <rFont val="Arial"/>
        <family val="0"/>
        <charset val="1"/>
      </rPr>
      <t xml:space="preserve">4.5 </t>
    </r>
    <r>
      <rPr>
        <sz val="11"/>
        <rFont val="WenQuanYi Zen Hei"/>
        <family val="2"/>
      </rPr>
      <t xml:space="preserve">秒內，碰到你的敵彈會被反彈回去攻擊敵人。</t>
    </r>
  </si>
  <si>
    <t xml:space="preserve">inkWell</t>
  </si>
  <si>
    <t xml:space="preserve">墨水補給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</si>
  <si>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</si>
  <si>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</si>
  <si>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點墨水。</t>
    </r>
  </si>
  <si>
    <r>
      <rPr>
        <sz val="11"/>
        <rFont val="WenQuanYi Zen Hei"/>
        <family val="2"/>
      </rPr>
      <t xml:space="preserve">立刻獲得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點墨水。</t>
    </r>
  </si>
  <si>
    <t xml:space="preserve">clusterBomb</t>
  </si>
  <si>
    <t xml:space="preserve">分裂墨彈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</si>
  <si>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</si>
  <si>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36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</si>
  <si>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顆小墨彈。</t>
    </r>
  </si>
  <si>
    <r>
      <rPr>
        <sz val="11"/>
        <rFont val="WenQuanYi Zen Hei"/>
        <family val="2"/>
      </rPr>
      <t xml:space="preserve">投出會分裂的墨彈：主爆炸造成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傷害，接著向四周炸出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顆小墨彈。</t>
    </r>
  </si>
  <si>
    <t xml:space="preserve">execute</t>
  </si>
  <si>
    <t xml:space="preserve">紅墨處決</t>
  </si>
  <si>
    <t xml:space="preserve">特殊技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</si>
  <si>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300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</si>
  <si>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400
</t>
    </r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</si>
  <si>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300 </t>
    </r>
    <r>
      <rPr>
        <sz val="11"/>
        <rFont val="WenQuanYi Zen Hei"/>
        <family val="2"/>
      </rPr>
      <t xml:space="preserve">點毀滅性傷害。</t>
    </r>
  </si>
  <si>
    <r>
      <rPr>
        <sz val="11"/>
        <rFont val="WenQuanYi Zen Hei"/>
        <family val="2"/>
      </rPr>
      <t xml:space="preserve">對目標附近最近的敵人造成 </t>
    </r>
    <r>
      <rPr>
        <sz val="11"/>
        <rFont val="Arial"/>
        <family val="0"/>
        <charset val="1"/>
      </rPr>
      <t xml:space="preserve">400 </t>
    </r>
    <r>
      <rPr>
        <sz val="11"/>
        <rFont val="WenQuanYi Zen Hei"/>
        <family val="2"/>
      </rPr>
      <t xml:space="preserve">點毀滅性傷害。</t>
    </r>
  </si>
  <si>
    <t xml:space="preserve">redraw</t>
  </si>
  <si>
    <t xml:space="preserve">重畫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</si>
  <si>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5</t>
    </r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</si>
  <si>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6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</si>
  <si>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墨水。</t>
    </r>
  </si>
  <si>
    <r>
      <rPr>
        <sz val="11"/>
        <rFont val="WenQuanYi Zen Hei"/>
        <family val="2"/>
      </rPr>
      <t xml:space="preserve">重新繪製整個房間：清除所有敵彈並獲得 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墨水。</t>
    </r>
  </si>
  <si>
    <t xml:space="preserve">tsunami</t>
  </si>
  <si>
    <t xml:space="preserve">墨水海嘯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</si>
  <si>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60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18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</si>
  <si>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長度：</t>
    </r>
    <r>
      <rPr>
        <sz val="11"/>
        <color rgb="FF0000FF"/>
        <rFont val="Arial"/>
        <family val="0"/>
        <charset val="1"/>
      </rPr>
      <t xml:space="preserve">20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</si>
  <si>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60 </t>
    </r>
    <r>
      <rPr>
        <sz val="11"/>
        <rFont val="WenQuanYi Zen Hei"/>
        <family val="2"/>
      </rPr>
      <t xml:space="preserve">傷害並沖走敵彈。</t>
    </r>
  </si>
  <si>
    <r>
      <rPr>
        <sz val="11"/>
        <rFont val="WenQuanYi Zen Hei"/>
        <family val="2"/>
      </rPr>
      <t xml:space="preserve">掀起一道墨浪橫掃前方，對所有敵人造成 </t>
    </r>
    <r>
      <rPr>
        <sz val="11"/>
        <rFont val="Arial"/>
        <family val="0"/>
        <charset val="1"/>
      </rPr>
      <t xml:space="preserve">80 </t>
    </r>
    <r>
      <rPr>
        <sz val="11"/>
        <rFont val="WenQuanYi Zen Hei"/>
        <family val="2"/>
      </rPr>
      <t xml:space="preserve">傷害並沖走敵彈。</t>
    </r>
  </si>
  <si>
    <t xml:space="preserve">echo</t>
  </si>
  <si>
    <t xml:space="preserve">回聲</t>
  </si>
  <si>
    <t xml:space="preserve">重播</t>
  </si>
  <si>
    <r>
      <rPr>
        <sz val="11"/>
        <color rgb="FF0000FF"/>
        <rFont val="WenQuanYi Zen Hei"/>
        <family val="2"/>
      </rPr>
      <t xml:space="preserve">墨水：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</si>
  <si>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免費重播本房間你上一張打出的卡（目標相同）；若還沒出過牌則獲得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墨水。</t>
    </r>
  </si>
  <si>
    <t xml:space="preserve">blackHole</t>
  </si>
  <si>
    <t xml:space="preserve">墨漩渦</t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</si>
  <si>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90</t>
    </r>
  </si>
  <si>
    <r>
      <rPr>
        <sz val="11"/>
        <color rgb="FF0000FF"/>
        <rFont val="WenQuanYi Zen Hei"/>
        <family val="2"/>
      </rPr>
      <t xml:space="preserve">半徑：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120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</si>
  <si>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7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90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</si>
  <si>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在目標處形成漩渦，把半徑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內的敵人吸過來，</t>
    </r>
    <r>
      <rPr>
        <sz val="11"/>
        <rFont val="Arial"/>
        <family val="0"/>
        <charset val="1"/>
      </rPr>
      <t xml:space="preserve">2.5 </t>
    </r>
    <r>
      <rPr>
        <sz val="11"/>
        <rFont val="WenQuanYi Zen Hei"/>
        <family val="2"/>
      </rPr>
      <t xml:space="preserve">秒後爆炸造成 </t>
    </r>
    <r>
      <rPr>
        <sz val="11"/>
        <rFont val="Arial"/>
        <family val="0"/>
        <charset val="1"/>
      </rPr>
      <t xml:space="preserve">120 </t>
    </r>
    <r>
      <rPr>
        <sz val="11"/>
        <rFont val="WenQuanYi Zen Hei"/>
        <family val="2"/>
      </rPr>
      <t xml:space="preserve">傷害。</t>
    </r>
  </si>
  <si>
    <t xml:space="preserve">barrage</t>
  </si>
  <si>
    <t xml:space="preserve">百筆齊發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</si>
  <si>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36</t>
    </r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</si>
  <si>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3.5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44</t>
    </r>
  </si>
  <si>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36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傷害。</t>
    </r>
  </si>
  <si>
    <r>
      <rPr>
        <sz val="11"/>
        <rFont val="Arial"/>
        <family val="0"/>
        <charset val="1"/>
      </rPr>
      <t xml:space="preserve">3.5 </t>
    </r>
    <r>
      <rPr>
        <sz val="11"/>
        <rFont val="WenQuanYi Zen Hei"/>
        <family val="2"/>
      </rPr>
      <t xml:space="preserve">秒內連續放出 </t>
    </r>
    <r>
      <rPr>
        <sz val="11"/>
        <rFont val="Arial"/>
        <family val="0"/>
        <charset val="1"/>
      </rPr>
      <t xml:space="preserve">44 </t>
    </r>
    <r>
      <rPr>
        <sz val="11"/>
        <rFont val="WenQuanYi Zen Hei"/>
        <family val="2"/>
      </rPr>
      <t xml:space="preserve">支追蹤筆，每支造成 </t>
    </r>
    <r>
      <rPr>
        <sz val="11"/>
        <rFont val="Arial"/>
        <family val="0"/>
        <charset val="1"/>
      </rPr>
      <t xml:space="preserve">14 </t>
    </r>
    <r>
      <rPr>
        <sz val="11"/>
        <rFont val="WenQuanYi Zen Hei"/>
        <family val="2"/>
      </rPr>
      <t xml:space="preserve">傷害。</t>
    </r>
  </si>
  <si>
    <t xml:space="preserve">giantPen</t>
  </si>
  <si>
    <t xml:space="preserve">巨筆一劃</t>
  </si>
  <si>
    <t xml:space="preserve">直線光束</t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</si>
  <si>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210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</si>
  <si>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280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3.3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</si>
  <si>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210 </t>
    </r>
    <r>
      <rPr>
        <sz val="11"/>
        <rFont val="WenQuanYi Zen Hei"/>
        <family val="2"/>
      </rPr>
      <t xml:space="preserve">傷害。</t>
    </r>
  </si>
  <si>
    <r>
      <rPr>
        <sz val="11"/>
        <rFont val="WenQuanYi Zen Hei"/>
        <family val="2"/>
      </rPr>
      <t xml:space="preserve">用巨筆朝指定方向劃過整個房間，路徑上所有敵人受到 </t>
    </r>
    <r>
      <rPr>
        <sz val="11"/>
        <rFont val="Arial"/>
        <family val="0"/>
        <charset val="1"/>
      </rPr>
      <t xml:space="preserve">280 </t>
    </r>
    <r>
      <rPr>
        <sz val="11"/>
        <rFont val="WenQuanYi Zen Hei"/>
        <family val="2"/>
      </rPr>
      <t xml:space="preserve">傷害。</t>
    </r>
  </si>
  <si>
    <t xml:space="preserve">freezeAll</t>
  </si>
  <si>
    <t xml:space="preserve">定格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</si>
  <si>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4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</si>
  <si>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</si>
  <si>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r>
      <rPr>
        <sz val="11"/>
        <rFont val="WenQuanYi Zen Hei"/>
        <family val="2"/>
      </rPr>
      <t xml:space="preserve">畫面定格 </t>
    </r>
    <r>
      <rPr>
        <sz val="11"/>
        <rFont val="Arial"/>
        <family val="0"/>
        <charset val="1"/>
      </rPr>
      <t xml:space="preserve">4 </t>
    </r>
    <r>
      <rPr>
        <sz val="11"/>
        <rFont val="WenQuanYi Zen Hei"/>
        <family val="2"/>
      </rPr>
      <t xml:space="preserve">秒：所有敵人與敵彈完全靜止（首領效果減為 </t>
    </r>
    <r>
      <rPr>
        <sz val="11"/>
        <rFont val="Arial"/>
        <family val="0"/>
        <charset val="1"/>
      </rPr>
      <t xml:space="preserve">30%</t>
    </r>
    <r>
      <rPr>
        <sz val="11"/>
        <rFont val="WenQuanYi Zen Hei"/>
        <family val="2"/>
      </rPr>
      <t xml:space="preserve">）。</t>
    </r>
  </si>
  <si>
    <t xml:space="preserve">inkStorm</t>
  </si>
  <si>
    <t xml:space="preserve">墨暴</t>
  </si>
  <si>
    <r>
      <rPr>
        <sz val="11"/>
        <color rgb="FF0000FF"/>
        <rFont val="WenQuanYi Zen Hei"/>
        <family val="2"/>
      </rPr>
      <t xml:space="preserve">持續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傷害：</t>
    </r>
    <r>
      <rPr>
        <sz val="11"/>
        <color rgb="FF0000FF"/>
        <rFont val="Arial"/>
        <family val="0"/>
        <charset val="1"/>
      </rPr>
      <t xml:space="preserve">40
</t>
    </r>
    <r>
      <rPr>
        <sz val="11"/>
        <color rgb="FF0000FF"/>
        <rFont val="WenQuanYi Zen Hei"/>
        <family val="2"/>
      </rPr>
      <t xml:space="preserve">間隔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</t>
    </r>
  </si>
  <si>
    <r>
      <rPr>
        <sz val="11"/>
        <rFont val="WenQuanYi Zen Hei"/>
        <family val="2"/>
      </rPr>
      <t xml:space="preserve">召喚墨暴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秒，每 </t>
    </r>
    <r>
      <rPr>
        <sz val="11"/>
        <rFont val="Arial"/>
        <family val="0"/>
        <charset val="1"/>
      </rPr>
      <t xml:space="preserve">0.45 </t>
    </r>
    <r>
      <rPr>
        <sz val="11"/>
        <rFont val="WenQuanYi Zen Hei"/>
        <family val="2"/>
      </rPr>
      <t xml:space="preserve">秒劈中一名隨機敵人，造成 </t>
    </r>
    <r>
      <rPr>
        <sz val="11"/>
        <rFont val="Arial"/>
        <family val="0"/>
        <charset val="1"/>
      </rPr>
      <t xml:space="preserve">40 </t>
    </r>
    <r>
      <rPr>
        <sz val="11"/>
        <rFont val="WenQuanYi Zen Hei"/>
        <family val="2"/>
      </rPr>
      <t xml:space="preserve">傷害。</t>
    </r>
  </si>
  <si>
    <t xml:space="preserve">精英生命倍率</t>
  </si>
  <si>
    <t xml:space="preserve">精英墨水倍率</t>
  </si>
  <si>
    <t xml:space="preserve">生命</t>
  </si>
  <si>
    <t xml:space="preserve">精英生命</t>
  </si>
  <si>
    <t xml:space="preserve">移動速度</t>
  </si>
  <si>
    <t xml:space="preserve">碰撞傷害</t>
  </si>
  <si>
    <t xml:space="preserve">子彈傷害</t>
  </si>
  <si>
    <t xml:space="preserve">子彈速度</t>
  </si>
  <si>
    <r>
      <rPr>
        <b val="true"/>
        <sz val="11"/>
        <color rgb="FFFFFFFF"/>
        <rFont val="WenQuanYi Zen Hei"/>
        <family val="2"/>
      </rPr>
      <t xml:space="preserve">射擊間隔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</si>
  <si>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擊殺墨水</t>
  </si>
  <si>
    <t xml:space="preserve">精英擊殺墨水</t>
  </si>
  <si>
    <t xml:space="preserve">出場點數</t>
  </si>
  <si>
    <t xml:space="preserve">攻擊方式</t>
  </si>
  <si>
    <t xml:space="preserve">其他特殊數值</t>
  </si>
  <si>
    <t xml:space="preserve">doodle</t>
  </si>
  <si>
    <t xml:space="preserve">塗鴉兵</t>
  </si>
  <si>
    <t xml:space="preserve">地面</t>
  </si>
  <si>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</t>
    </r>
  </si>
  <si>
    <r>
      <rPr>
        <sz val="11"/>
        <rFont val="WenQuanYi Zen Hei"/>
        <family val="2"/>
      </rPr>
      <t xml:space="preserve">【瞄準射擊】一邊走位一邊畫出紅色瞄準線，約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秒後沿線射出一發紅色子彈。看到紅線就橫向移動閃開。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</si>
  <si>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9]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[1, 1.8]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7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3.2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</t>
    </r>
  </si>
  <si>
    <t xml:space="preserve">blob</t>
  </si>
  <si>
    <t xml:space="preserve">墨團</t>
  </si>
  <si>
    <r>
      <rPr>
        <sz val="11"/>
        <rFont val="WenQuanYi Zen Hei"/>
        <family val="2"/>
      </rPr>
      <t xml:space="preserve">【跳躍彈環】一跳一跳地逼近你，每跳三次落地時向四周噴出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發環狀子彈。
【分裂】被擊破時分裂成兩隻小墨團，小墨團跑得更快但很脆弱（每隻 </t>
    </r>
    <r>
      <rPr>
        <sz val="11"/>
        <rFont val="Arial"/>
        <family val="0"/>
        <charset val="1"/>
      </rPr>
      <t xml:space="preserve">+0.5 </t>
    </r>
    <r>
      <rPr>
        <sz val="11"/>
        <rFont val="WenQuanYi Zen Hei"/>
        <family val="2"/>
      </rPr>
      <t xml:space="preserve">墨水）。</t>
    </r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</si>
  <si>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[0.6, 0.9]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split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blobSmall
splitCount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</t>
    </r>
  </si>
  <si>
    <t xml:space="preserve">sprayer</t>
  </si>
  <si>
    <t xml:space="preserve">散彈兵</t>
  </si>
  <si>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2.8</t>
    </r>
  </si>
  <si>
    <r>
      <rPr>
        <sz val="11"/>
        <rFont val="WenQuanYi Zen Hei"/>
        <family val="2"/>
      </rPr>
      <t xml:space="preserve">【扇形散彈】畫出三條紅線標示範圍，接著一次噴出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發扇形子彈。子彈飛不遠，拉開距離或從縫隙穿過就能躲開。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</si>
  <si>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[4, 7]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2.1]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pellets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</t>
    </r>
  </si>
  <si>
    <t xml:space="preserve">inkCloud</t>
  </si>
  <si>
    <t xml:space="preserve">墨雲</t>
  </si>
  <si>
    <t xml:space="preserve">飛行</t>
  </si>
  <si>
    <t xml:space="preserve">【墨水雨】停下來鼓起身體，在你腳下與附近畫出紅圈，紅圈縮完後墨滴落下爆開並留下減速墨漬。第一個紅圈會預判你的走位。擊倒墨雲後尚未落下的墨滴會消失。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</si>
  <si>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2.5
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[5, 8]
drift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0.7
castEvery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[2.8, 3.6]
firstCast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[1.6, 2.4]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
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eliteDrops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dropDelay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0.95
dropStagger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0.16
dropSpread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3.6
dropLead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hitRadius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1.4
dropDamage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1.3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0.55</t>
    </r>
  </si>
  <si>
    <t xml:space="preserve">bird</t>
  </si>
  <si>
    <t xml:space="preserve">摺紙鳥</t>
  </si>
  <si>
    <t xml:space="preserve">【俯衝】在空中盤旋，接著畫出紅線朝你俯衝穿過。飛行中不會觸發地雷。</t>
  </si>
  <si>
    <r>
      <rPr>
        <sz val="11"/>
        <rFont val="Arial"/>
        <family val="0"/>
        <charset val="1"/>
      </rPr>
      <t xml:space="preserve">flyHeight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orbit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
wobble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2.4
wobbleFreq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swoopEvery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3.4]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8
swoopSpeed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swoopTime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</t>
    </r>
  </si>
  <si>
    <t xml:space="preserve">compass</t>
  </si>
  <si>
    <t xml:space="preserve">圓規手</t>
  </si>
  <si>
    <r>
      <rPr>
        <sz val="11"/>
        <color rgb="FF0000FF"/>
        <rFont val="Arial"/>
        <family val="0"/>
        <charset val="1"/>
      </rPr>
      <t xml:space="preserve">2.2</t>
    </r>
    <r>
      <rPr>
        <sz val="11"/>
        <color rgb="FF0000FF"/>
        <rFont val="WenQuanYi Zen Hei"/>
        <family val="2"/>
      </rPr>
      <t xml:space="preserve">～</t>
    </r>
    <r>
      <rPr>
        <sz val="11"/>
        <color rgb="FF0000FF"/>
        <rFont val="Arial"/>
        <family val="0"/>
        <charset val="1"/>
      </rPr>
      <t xml:space="preserve">3</t>
    </r>
  </si>
  <si>
    <r>
      <rPr>
        <sz val="11"/>
        <rFont val="WenQuanYi Zen Hei"/>
        <family val="2"/>
      </rPr>
      <t xml:space="preserve">【圓環彈幕】停在遠處，先在自己周圍畫出紅圈，畫完後一次射出 </t>
    </r>
    <r>
      <rPr>
        <sz val="11"/>
        <rFont val="Arial"/>
        <family val="0"/>
        <charset val="1"/>
      </rPr>
      <t xml:space="preserve">12 </t>
    </r>
    <r>
      <rPr>
        <sz val="11"/>
        <rFont val="WenQuanYi Zen Hei"/>
        <family val="2"/>
      </rPr>
      <t xml:space="preserve">發向外擴散的子彈。</t>
    </r>
  </si>
  <si>
    <r>
      <rPr>
        <sz val="11"/>
        <rFont val="Arial"/>
        <family val="0"/>
        <charset val="1"/>
      </rPr>
      <t xml:space="preserve">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[9, 13]
strafe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firstShot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[1.4, 2.2]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0.65
ringRadius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ringCount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12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</si>
  <si>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eraserMonster</t>
  </si>
  <si>
    <t xml:space="preserve">橡皮怪</t>
  </si>
  <si>
    <t xml:space="preserve">【衝撞】畫出紅色直線後高速衝撞。撞到掩體會暈眩一小段時間，是反擊的好機會。
【擦除牆壁】衝撞時會直接擦掉你畫的鉛筆牆，別把所有防守都押在牆上。</t>
  </si>
  <si>
    <r>
      <rPr>
        <sz val="11"/>
        <rFont val="Arial"/>
        <family val="0"/>
        <charset val="1"/>
      </rPr>
      <t xml:space="preserve">chargeRange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chargeSpeed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13
chargeTime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chargeCd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[2.2, 3.2]
telegraph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telegraphLength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stunTime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0.9
chargeDamage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</t>
    </r>
  </si>
  <si>
    <t xml:space="preserve">blobSmall</t>
  </si>
  <si>
    <t xml:space="preserve">分裂體</t>
  </si>
  <si>
    <r>
      <rPr>
        <sz val="11"/>
        <rFont val="Arial"/>
        <family val="0"/>
        <charset val="1"/>
      </rPr>
      <t xml:space="preserve">hopWait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[0.35, 0.6]
hopTime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0.35
hopDist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
hopHeight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0.6
shootEvery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</t>
    </r>
  </si>
  <si>
    <t xml:space="preserve">inkBottle</t>
  </si>
  <si>
    <t xml:space="preserve">巨型墨瓶</t>
  </si>
  <si>
    <t xml:space="preserve">頭目</t>
  </si>
  <si>
    <t xml:space="preserve">—（頭目無精英）</t>
  </si>
  <si>
    <t xml:space="preserve">—</t>
  </si>
  <si>
    <r>
      <rPr>
        <sz val="11"/>
        <rFont val="WenQuanYi Zen Hei"/>
        <family val="2"/>
      </rPr>
      <t xml:space="preserve">【螺旋彈幕】原地旋轉，從瓶身噴出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條螺旋狀的子彈流，持續約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秒。
【扇形彈幕】朝你連續射出三波扇形子彈（</t>
    </r>
    <r>
      <rPr>
        <sz val="11"/>
        <rFont val="Arial"/>
        <family val="0"/>
        <charset val="1"/>
      </rPr>
      <t xml:space="preserve">7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9 </t>
    </r>
    <r>
      <rPr>
        <sz val="11"/>
        <rFont val="WenQuanYi Zen Hei"/>
        <family val="2"/>
      </rPr>
      <t xml:space="preserve">發），往兩側繞開最安全。
【環狀彈幕】連續射出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圈、每圈 </t>
    </r>
    <r>
      <rPr>
        <sz val="11"/>
        <rFont val="Arial"/>
        <family val="0"/>
        <charset val="1"/>
      </rPr>
      <t xml:space="preserve">22 </t>
    </r>
    <r>
      <rPr>
        <sz val="11"/>
        <rFont val="WenQuanYi Zen Hei"/>
        <family val="2"/>
      </rPr>
      <t xml:space="preserve">發的環狀子彈，每圈之間有錯開的縫隙。
【潑灑墨漬】把墨水拋到你附近，落地形成墨漬，踩在上面會大幅減速。
【召喚墨團】血量降低後會在兩側召喚墨團助陣。
【弱點：背後裂縫】瓶身背後的紅色裂縫受到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倍傷害，繞到它背後攻擊吧。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</si>
  <si>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weakAngle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0.8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spinSpeed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5
puddleRadius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2.2
puddleTime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9
puddleSlow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0.45
patternGap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[1.3, 1.9]
phaseRush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0.25
spiralRate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0.085
spiralTime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2.6
fanRate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0.48</t>
    </r>
  </si>
  <si>
    <t xml:space="preserve">scissors</t>
  </si>
  <si>
    <t xml:space="preserve">剪刀魔</t>
  </si>
  <si>
    <r>
      <rPr>
        <sz val="11"/>
        <rFont val="WenQuanYi Zen Hei"/>
        <family val="2"/>
      </rPr>
      <t xml:space="preserve">【衝刺剪擊】預判你的位置畫出紅線後高速衝刺，沿路留下紅色切痕。撞牆會卡住，此時受到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倍傷害。
【十字剪】朝四個方向各射出三發子彈，每一波都會稍微旋轉角度。
【旋轉】一邊旋轉一邊朝你靠近，灑出兩條螺旋子彈流。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</si>
  <si>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dashSpeed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22
dashTime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1.1
stuckTime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1.5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4</t>
    </r>
  </si>
  <si>
    <t xml:space="preserve">book</t>
  </si>
  <si>
    <t xml:space="preserve">墨跡之書</t>
  </si>
  <si>
    <r>
      <rPr>
        <sz val="11"/>
        <rFont val="WenQuanYi Zen Hei"/>
        <family val="2"/>
      </rPr>
      <t xml:space="preserve">【彈幕牆】射出一整排子彈牆，只留下一個缺口，找到缺口鑽過去。
【墨水雨】在地上標記紅圈，稍後墨水落下並向四周炸出子彈，快離開紅圈。
【重擊】把書重重闔上，震出 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發一圈的密集彈幕，連續 </t>
    </r>
    <r>
      <rPr>
        <sz val="11"/>
        <rFont val="Arial"/>
        <family val="0"/>
        <charset val="1"/>
      </rPr>
      <t xml:space="preserve">2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次。
【召喚小兵】寫出兩隻塗鴉兵和一隻摺紙鳥。
【攤開休息】每次攻擊後攤開休息，這段時間受到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倍傷害，把握時機全力輸出。</t>
    </r>
  </si>
  <si>
    <r>
      <rPr>
        <sz val="11"/>
        <rFont val="Arial"/>
        <family val="0"/>
        <charset val="1"/>
      </rPr>
      <t xml:space="preserve">knockMult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0
weakMult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3
restTime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1.8
bulletLife</t>
    </r>
    <r>
      <rPr>
        <sz val="11"/>
        <rFont val="WenQuanYi Zen Hei"/>
        <family val="2"/>
      </rPr>
      <t xml:space="preserve">：</t>
    </r>
    <r>
      <rPr>
        <sz val="11"/>
        <rFont val="Arial"/>
        <family val="0"/>
        <charset val="1"/>
      </rPr>
      <t xml:space="preserve">6</t>
    </r>
  </si>
  <si>
    <t xml:space="preserve">特色</t>
  </si>
  <si>
    <t xml:space="preserve">每發傷害</t>
  </si>
  <si>
    <t xml:space="preserve">每次擊發子彈數</t>
  </si>
  <si>
    <t xml:space="preserve">彈匣</t>
  </si>
  <si>
    <r>
      <rPr>
        <b val="true"/>
        <sz val="11"/>
        <color rgb="FFFFFFFF"/>
        <rFont val="WenQuanYi Zen Hei"/>
        <family val="2"/>
      </rPr>
      <t xml:space="preserve">換彈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</si>
  <si>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r>
      <rPr>
        <b val="true"/>
        <sz val="11"/>
        <color rgb="FFFFFFFF"/>
        <rFont val="WenQuanYi Zen Hei"/>
        <family val="2"/>
      </rPr>
      <t xml:space="preserve">子彈存活</t>
    </r>
    <r>
      <rPr>
        <b val="true"/>
        <sz val="11"/>
        <color rgb="FFFFFFFF"/>
        <rFont val="Arial"/>
        <family val="0"/>
        <charset val="1"/>
      </rPr>
      <t xml:space="preserve">(</t>
    </r>
    <r>
      <rPr>
        <b val="true"/>
        <sz val="11"/>
        <color rgb="FFFFFFFF"/>
        <rFont val="WenQuanYi Zen Hei"/>
        <family val="2"/>
      </rPr>
      <t xml:space="preserve">秒</t>
    </r>
    <r>
      <rPr>
        <b val="true"/>
        <sz val="11"/>
        <color rgb="FFFFFFFF"/>
        <rFont val="Arial"/>
        <family val="0"/>
        <charset val="1"/>
      </rPr>
      <t xml:space="preserve">)</t>
    </r>
  </si>
  <si>
    <t xml:space="preserve">擴散</t>
  </si>
  <si>
    <r>
      <rPr>
        <b val="true"/>
        <sz val="11"/>
        <color rgb="FFFFFFFF"/>
        <rFont val="WenQuanYi Zen Hei"/>
        <family val="2"/>
      </rPr>
      <t xml:space="preserve">理論 </t>
    </r>
    <r>
      <rPr>
        <b val="true"/>
        <sz val="11"/>
        <color rgb="FFFFFFFF"/>
        <rFont val="Arial"/>
        <family val="0"/>
        <charset val="1"/>
      </rPr>
      <t xml:space="preserve">DPS</t>
    </r>
  </si>
  <si>
    <t xml:space="preserve">特殊效果</t>
  </si>
  <si>
    <t xml:space="preserve">pen</t>
  </si>
  <si>
    <t xml:space="preserve">鋼筆</t>
  </si>
  <si>
    <t xml:space="preserve">均衡單發</t>
  </si>
  <si>
    <t xml:space="preserve">pencil</t>
  </si>
  <si>
    <t xml:space="preserve">自動鉛筆</t>
  </si>
  <si>
    <t xml:space="preserve">高射速・大彈匣</t>
  </si>
  <si>
    <t xml:space="preserve">brush</t>
  </si>
  <si>
    <t xml:space="preserve">毛筆</t>
  </si>
  <si>
    <t xml:space="preserve">揮灑墨痕・近距離加傷</t>
  </si>
  <si>
    <r>
      <rPr>
        <sz val="11"/>
        <rFont val="WenQuanYi Zen Hei"/>
        <family val="2"/>
      </rPr>
      <t xml:space="preserve">扇形 </t>
    </r>
    <r>
      <rPr>
        <sz val="11"/>
        <rFont val="Arial"/>
        <family val="0"/>
        <charset val="1"/>
      </rPr>
      <t xml:space="preserve">5 </t>
    </r>
    <r>
      <rPr>
        <sz val="11"/>
        <rFont val="WenQuanYi Zen Hei"/>
        <family val="2"/>
      </rPr>
      <t xml:space="preserve">道，展開角 </t>
    </r>
    <r>
      <rPr>
        <sz val="11"/>
        <rFont val="Arial"/>
        <family val="0"/>
        <charset val="1"/>
      </rPr>
      <t xml:space="preserve">0.8
</t>
    </r>
    <r>
      <rPr>
        <sz val="11"/>
        <rFont val="WenQuanYi Zen Hei"/>
        <family val="2"/>
      </rPr>
      <t xml:space="preserve">揮筆擦除身前敵彈（半徑 </t>
    </r>
    <r>
      <rPr>
        <sz val="11"/>
        <rFont val="Arial"/>
        <family val="0"/>
        <charset val="1"/>
      </rPr>
      <t xml:space="preserve">4.2</t>
    </r>
    <r>
      <rPr>
        <sz val="11"/>
        <rFont val="WenQuanYi Zen Hei"/>
        <family val="2"/>
      </rPr>
      <t xml:space="preserve">、角度 </t>
    </r>
    <r>
      <rPr>
        <sz val="11"/>
        <rFont val="Arial"/>
        <family val="0"/>
        <charset val="1"/>
      </rPr>
      <t xml:space="preserve">0.7</t>
    </r>
    <r>
      <rPr>
        <sz val="11"/>
        <rFont val="WenQuanYi Zen Hei"/>
        <family val="2"/>
      </rPr>
      <t xml:space="preserve">）
距離分段傷害：</t>
    </r>
    <r>
      <rPr>
        <sz val="11"/>
        <rFont val="Arial"/>
        <family val="0"/>
        <charset val="1"/>
      </rPr>
      <t xml:space="preserve">1.7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25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3.2 </t>
    </r>
    <r>
      <rPr>
        <sz val="11"/>
        <rFont val="WenQuanYi Zen Hei"/>
        <family val="2"/>
      </rPr>
      <t xml:space="preserve">格內 </t>
    </r>
    <r>
      <rPr>
        <sz val="11"/>
        <rFont val="Arial"/>
        <family val="0"/>
        <charset val="1"/>
      </rPr>
      <t xml:space="preserve">20</t>
    </r>
    <r>
      <rPr>
        <sz val="11"/>
        <rFont val="WenQuanYi Zen Hei"/>
        <family val="2"/>
      </rPr>
      <t xml:space="preserve">，更遠 </t>
    </r>
    <r>
      <rPr>
        <sz val="11"/>
        <rFont val="Arial"/>
        <family val="0"/>
        <charset val="1"/>
      </rPr>
      <t xml:space="preserve">15</t>
    </r>
    <r>
      <rPr>
        <sz val="11"/>
        <rFont val="WenQuanYi Zen Hei"/>
        <family val="2"/>
      </rPr>
      <t xml:space="preserve">（傷害欄填最遠的基礎值）</t>
    </r>
  </si>
  <si>
    <t xml:space="preserve">stapler</t>
  </si>
  <si>
    <t xml:space="preserve">釘書機</t>
  </si>
  <si>
    <t xml:space="preserve">三連點射・減速</t>
  </si>
  <si>
    <r>
      <rPr>
        <sz val="11"/>
        <rFont val="WenQuanYi Zen Hei"/>
        <family val="2"/>
      </rPr>
      <t xml:space="preserve">三連發，每發間隔 </t>
    </r>
    <r>
      <rPr>
        <sz val="11"/>
        <rFont val="Arial"/>
        <family val="0"/>
        <charset val="1"/>
      </rPr>
      <t xml:space="preserve">0.07 </t>
    </r>
    <r>
      <rPr>
        <sz val="11"/>
        <rFont val="WenQuanYi Zen Hei"/>
        <family val="2"/>
      </rPr>
      <t xml:space="preserve">秒
命中減速 </t>
    </r>
    <r>
      <rPr>
        <sz val="11"/>
        <rFont val="Arial"/>
        <family val="0"/>
        <charset val="1"/>
      </rPr>
      <t xml:space="preserve">0.9 </t>
    </r>
    <r>
      <rPr>
        <sz val="11"/>
        <rFont val="WenQuanYi Zen Hei"/>
        <family val="2"/>
      </rPr>
      <t xml:space="preserve">秒（速度 </t>
    </r>
    <r>
      <rPr>
        <sz val="11"/>
        <rFont val="Arial"/>
        <family val="0"/>
        <charset val="1"/>
      </rPr>
      <t xml:space="preserve">×0.45</t>
    </r>
    <r>
      <rPr>
        <sz val="11"/>
        <rFont val="WenQuanYi Zen Hei"/>
        <family val="2"/>
      </rPr>
      <t xml:space="preserve">）</t>
    </r>
  </si>
  <si>
    <t xml:space="preserve">highlighter</t>
  </si>
  <si>
    <t xml:space="preserve">螢光筆</t>
  </si>
  <si>
    <t xml:space="preserve">持續光束・會過熱</t>
  </si>
  <si>
    <r>
      <rPr>
        <sz val="11"/>
        <rFont val="WenQuanYi Zen Hei"/>
        <family val="2"/>
      </rPr>
      <t xml:space="preserve">持續光束：射程 </t>
    </r>
    <r>
      <rPr>
        <sz val="11"/>
        <rFont val="Arial"/>
        <family val="0"/>
        <charset val="1"/>
      </rPr>
      <t xml:space="preserve">11</t>
    </r>
    <r>
      <rPr>
        <sz val="11"/>
        <rFont val="WenQuanYi Zen Hei"/>
        <family val="2"/>
      </rPr>
      <t xml:space="preserve">、寬度 </t>
    </r>
    <r>
      <rPr>
        <sz val="11"/>
        <rFont val="Arial"/>
        <family val="0"/>
        <charset val="1"/>
      </rPr>
      <t xml:space="preserve">0.6</t>
    </r>
    <r>
      <rPr>
        <sz val="11"/>
        <rFont val="WenQuanYi Zen Hei"/>
        <family val="2"/>
      </rPr>
      <t xml:space="preserve">，穿透線上所有敵人，碰牆停止；每 </t>
    </r>
    <r>
      <rPr>
        <sz val="11"/>
        <rFont val="Arial"/>
        <family val="0"/>
        <charset val="1"/>
      </rPr>
      <t xml:space="preserve">0.1 </t>
    </r>
    <r>
      <rPr>
        <sz val="11"/>
        <rFont val="WenQuanYi Zen Hei"/>
        <family val="2"/>
      </rPr>
      <t xml:space="preserve">秒結算一次傷害
熱度：彈匣＝</t>
    </r>
    <r>
      <rPr>
        <sz val="11"/>
        <rFont val="Arial"/>
        <family val="0"/>
        <charset val="1"/>
      </rPr>
      <t xml:space="preserve">30 </t>
    </r>
    <r>
      <rPr>
        <sz val="11"/>
        <rFont val="WenQuanYi Zen Hei"/>
        <family val="2"/>
      </rPr>
      <t xml:space="preserve">次結算，放開 </t>
    </r>
    <r>
      <rPr>
        <sz val="11"/>
        <rFont val="Arial"/>
        <family val="0"/>
        <charset val="1"/>
      </rPr>
      <t xml:space="preserve">0.5 </t>
    </r>
    <r>
      <rPr>
        <sz val="11"/>
        <rFont val="WenQuanYi Zen Hei"/>
        <family val="2"/>
      </rPr>
      <t xml:space="preserve">秒後每秒回復 </t>
    </r>
    <r>
      <rPr>
        <sz val="11"/>
        <rFont val="Arial"/>
        <family val="0"/>
        <charset val="1"/>
      </rPr>
      <t xml:space="preserve">8</t>
    </r>
    <r>
      <rPr>
        <sz val="11"/>
        <rFont val="WenQuanYi Zen Hei"/>
        <family val="2"/>
      </rPr>
      <t xml:space="preserve">；過熱冷卻 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秒，無法手動換彈</t>
    </r>
  </si>
  <si>
    <t xml:space="preserve">圓規</t>
  </si>
  <si>
    <t xml:space="preserve">回力鏢・冷卻制</t>
  </si>
  <si>
    <r>
      <rPr>
        <sz val="11"/>
        <rFont val="WenQuanYi Zen Hei"/>
        <family val="2"/>
      </rPr>
      <t xml:space="preserve">回力鏢：直線飛出、以同樣速度直線飛回手上，去回都穿透（可打兩次），穿過紙箱與墨水桶，撞牆彈回
落空縮短冷卻：這一丟沒打中任何敵人時，剩餘冷卻變為 </t>
    </r>
    <r>
      <rPr>
        <sz val="11"/>
        <rFont val="Arial"/>
        <family val="0"/>
        <charset val="1"/>
      </rPr>
      <t xml:space="preserve">40%
</t>
    </r>
    <r>
      <rPr>
        <sz val="11"/>
        <rFont val="WenQuanYi Zen Hei"/>
        <family val="2"/>
      </rPr>
      <t xml:space="preserve">冷卻制：沒有彈匣與換彈，每次丟出後冷卻 </t>
    </r>
    <r>
      <rPr>
        <sz val="11"/>
        <rFont val="Arial"/>
        <family val="0"/>
        <charset val="1"/>
      </rPr>
      <t xml:space="preserve">1.8 </t>
    </r>
    <r>
      <rPr>
        <sz val="11"/>
        <rFont val="WenQuanYi Zen Hei"/>
        <family val="2"/>
      </rPr>
      <t xml:space="preserve">秒（射擊間隔欄填的是冷卻時間）</t>
    </r>
  </si>
  <si>
    <t xml:space="preserve">id</t>
  </si>
  <si>
    <t xml:space="preserve">主持人</t>
  </si>
  <si>
    <t xml:space="preserve">玩法說明（主持人台詞）</t>
  </si>
  <si>
    <r>
      <rPr>
        <b val="true"/>
        <sz val="11"/>
        <color rgb="FFFFFFFF"/>
        <rFont val="WenQuanYi Zen Hei"/>
        <family val="2"/>
      </rPr>
      <t xml:space="preserve">參數（陣列為第</t>
    </r>
    <r>
      <rPr>
        <b val="true"/>
        <sz val="11"/>
        <color rgb="FFFFFFFF"/>
        <rFont val="Arial"/>
        <family val="0"/>
        <charset val="1"/>
      </rPr>
      <t xml:space="preserve">1/2/3</t>
    </r>
    <r>
      <rPr>
        <b val="true"/>
        <sz val="11"/>
        <color rgb="FFFFFFFF"/>
        <rFont val="WenQuanYi Zen Hei"/>
        <family val="2"/>
      </rPr>
      <t xml:space="preserve">幕）</t>
    </r>
  </si>
  <si>
    <t xml:space="preserve">bells</t>
  </si>
  <si>
    <t xml:space="preserve">記憶音鈴</t>
  </si>
  <si>
    <t xml:space="preserve">音鈴指揮</t>
  </si>
  <si>
    <r>
      <rPr>
        <sz val="11"/>
        <rFont val="WenQuanYi Zen Hei"/>
        <family val="2"/>
      </rPr>
      <t xml:space="preserve">我會依序敲響四個音鈴。看清楚順序後，走到音鈴旁按 </t>
    </r>
    <r>
      <rPr>
        <sz val="11"/>
        <rFont val="Arial"/>
        <family val="0"/>
        <charset val="1"/>
      </rPr>
      <t xml:space="preserve">F</t>
    </r>
    <r>
      <rPr>
        <sz val="11"/>
        <rFont val="WenQuanYi Zen Hei"/>
        <family val="2"/>
      </rPr>
      <t xml:space="preserve">（觸控按互動鍵）照同樣順序敲一遍！</t>
    </r>
  </si>
  <si>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[-6, -2, 2, 6]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reach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1.7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每拍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0.75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0.8</t>
    </r>
  </si>
  <si>
    <t xml:space="preserve">range</t>
  </si>
  <si>
    <t xml:space="preserve">塗鴉靶場</t>
  </si>
  <si>
    <t xml:space="preserve">靶場教練</t>
  </si>
  <si>
    <t xml:space="preserve">紙靶會立刻冒出來，在時間內用你的武器全部打倒！</t>
  </si>
  <si>
    <r>
      <rPr>
        <sz val="11"/>
        <color rgb="FF0000FF"/>
        <rFont val="WenQuanYi Zen Hei"/>
        <family val="2"/>
      </rPr>
      <t xml:space="preserve">數量：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11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</t>
    </r>
  </si>
  <si>
    <t xml:space="preserve">trace</t>
  </si>
  <si>
    <t xml:space="preserve">描線練習</t>
  </si>
  <si>
    <t xml:space="preserve">塗鴉牆</t>
  </si>
  <si>
    <t xml:space="preserve">從黃色起點出發，沿著地上的虛線走到紅色星星。偏離線太遠就算失敗！</t>
  </si>
  <si>
    <r>
      <rPr>
        <sz val="11"/>
        <color rgb="FF0000FF"/>
        <rFont val="WenQuanYi Zen Hei"/>
        <family val="2"/>
      </rPr>
      <t xml:space="preserve">折點數：第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容許誤差：</t>
    </r>
    <r>
      <rPr>
        <sz val="11"/>
        <color rgb="FF0000FF"/>
        <rFont val="Arial"/>
        <family val="0"/>
        <charset val="1"/>
      </rPr>
      <t xml:space="preserve">1.15
</t>
    </r>
    <r>
      <rPr>
        <sz val="11"/>
        <color rgb="FF0000FF"/>
        <rFont val="WenQuanYi Zen Hei"/>
        <family val="2"/>
      </rPr>
      <t xml:space="preserve">離線寬限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
</t>
    </r>
    <r>
      <rPr>
        <sz val="11"/>
        <color rgb="FF0000FF"/>
        <rFont val="WenQuanYi Zen Hei"/>
        <family val="2"/>
      </rPr>
      <t xml:space="preserve">虛線間距：</t>
    </r>
    <r>
      <rPr>
        <sz val="11"/>
        <color rgb="FF0000FF"/>
        <rFont val="Arial"/>
        <family val="0"/>
        <charset val="1"/>
      </rPr>
      <t xml:space="preserve">0.55
</t>
    </r>
    <r>
      <rPr>
        <sz val="11"/>
        <color rgb="FF0000FF"/>
        <rFont val="WenQuanYi Zen Hei"/>
        <family val="2"/>
      </rPr>
      <t xml:space="preserve">上下幅度：</t>
    </r>
    <r>
      <rPr>
        <sz val="11"/>
        <color rgb="FF0000FF"/>
        <rFont val="Arial"/>
        <family val="0"/>
        <charset val="1"/>
      </rPr>
      <t xml:space="preserve">4.2
</t>
    </r>
    <r>
      <rPr>
        <sz val="11"/>
        <color rgb="FF0000FF"/>
        <rFont val="WenQuanYi Zen Hei"/>
        <family val="2"/>
      </rPr>
      <t xml:space="preserve">左右幅度：</t>
    </r>
    <r>
      <rPr>
        <sz val="11"/>
        <color rgb="FF0000FF"/>
        <rFont val="Arial"/>
        <family val="0"/>
        <charset val="1"/>
      </rPr>
      <t xml:space="preserve">8.5</t>
    </r>
  </si>
  <si>
    <t xml:space="preserve">push</t>
  </si>
  <si>
    <t xml:space="preserve">推橡皮擦</t>
  </si>
  <si>
    <t xml:space="preserve">把大橡皮擦推進紅色圈圈裡。用身體去頂它，小心別卡進角落！</t>
  </si>
  <si>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起終點最小距離：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邊界：</t>
    </r>
    <r>
      <rPr>
        <sz val="11"/>
        <color rgb="FF0000FF"/>
        <rFont val="Arial"/>
        <family val="0"/>
        <charset val="1"/>
      </rPr>
      <t xml:space="preserve">1.4</t>
    </r>
  </si>
  <si>
    <t xml:space="preserve">pour</t>
  </si>
  <si>
    <t xml:space="preserve">倒墨水</t>
  </si>
  <si>
    <t xml:space="preserve">墨水瓶</t>
  </si>
  <si>
    <t xml:space="preserve">站上「倒」字踏板，墨水就會往上升；在剛好到紅線附近時離開踏板。倒滿溢出就失敗！</t>
  </si>
  <si>
    <r>
      <rPr>
        <sz val="11"/>
        <color rgb="FF0000FF"/>
        <rFont val="WenQuanYi Zen Hei"/>
        <family val="2"/>
      </rPr>
      <t xml:space="preserve">上升速度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每秒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容許誤差：第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0.065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0.055
</t>
    </r>
    <r>
      <rPr>
        <sz val="11"/>
        <color rgb="FF0000FF"/>
        <rFont val="WenQuanYi Zen Hei"/>
        <family val="2"/>
      </rPr>
      <t xml:space="preserve">目標範圍：</t>
    </r>
    <r>
      <rPr>
        <sz val="11"/>
        <color rgb="FF0000FF"/>
        <rFont val="Arial"/>
        <family val="0"/>
        <charset val="1"/>
      </rPr>
      <t xml:space="preserve">[0.45, 0.85]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高度：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1.8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-1.4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2</t>
    </r>
  </si>
  <si>
    <t xml:space="preserve">tiles</t>
  </si>
  <si>
    <t xml:space="preserve">踩格子</t>
  </si>
  <si>
    <t xml:space="preserve">削鉛筆機</t>
  </si>
  <si>
    <t xml:space="preserve">把每一格白色地板都踩黑，同一格不能踩兩次，打叉的墨漬格也不能踩！時間比較短，先想好路線再走。</t>
  </si>
  <si>
    <r>
      <rPr>
        <sz val="11"/>
        <color rgb="FF0000FF"/>
        <rFont val="WenQuanYi Zen Hei"/>
        <family val="2"/>
      </rPr>
      <t xml:space="preserve">欄：第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列：第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blocks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</si>
  <si>
    <t xml:space="preserve">diff</t>
  </si>
  <si>
    <t xml:space="preserve">找不同</t>
  </si>
  <si>
    <t xml:space="preserve">筆記本</t>
  </si>
  <si>
    <r>
      <rPr>
        <sz val="11"/>
        <rFont val="Arial"/>
        <family val="0"/>
        <charset val="1"/>
      </rPr>
      <t xml:space="preserve">A</t>
    </r>
    <r>
      <rPr>
        <sz val="11"/>
        <rFont val="WenQuanYi Zen Hei"/>
        <family val="2"/>
      </rPr>
      <t xml:space="preserve">、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兩張圖有幾個地方不一樣。在 </t>
    </r>
    <r>
      <rPr>
        <sz val="11"/>
        <rFont val="Arial"/>
        <family val="0"/>
        <charset val="1"/>
      </rPr>
      <t xml:space="preserve">B </t>
    </r>
    <r>
      <rPr>
        <sz val="11"/>
        <rFont val="WenQuanYi Zen Hei"/>
        <family val="2"/>
      </rPr>
      <t xml:space="preserve">圖上站到不一樣的格子裡停一下來圈出它，圈錯兩次就失敗！</t>
    </r>
  </si>
  <si>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2.2
</t>
    </r>
    <r>
      <rPr>
        <sz val="11"/>
        <color rgb="FF0000FF"/>
        <rFont val="WenQuanYi Zen Hei"/>
        <family val="2"/>
      </rPr>
      <t xml:space="preserve">不同處：第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可失誤次數：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24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左右間距：</t>
    </r>
    <r>
      <rPr>
        <sz val="11"/>
        <color rgb="FF0000FF"/>
        <rFont val="Arial"/>
        <family val="0"/>
        <charset val="1"/>
      </rPr>
      <t xml:space="preserve">4.6</t>
    </r>
  </si>
  <si>
    <t xml:space="preserve">pairs</t>
  </si>
  <si>
    <t xml:space="preserve">翻牌配對</t>
  </si>
  <si>
    <t xml:space="preserve">扭蛋機</t>
  </si>
  <si>
    <t xml:space="preserve">站在牌上停一下就會翻開。一次翻兩張，圖案一樣就配對成功；配錯太多次就失敗！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</si>
  <si>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間距：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翻開展示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0.9</t>
    </r>
  </si>
  <si>
    <t xml:space="preserve">mines</t>
  </si>
  <si>
    <t xml:space="preserve">踩地雷</t>
  </si>
  <si>
    <t xml:space="preserve">插旗小人</t>
  </si>
  <si>
    <r>
      <rPr>
        <sz val="11"/>
        <rFont val="WenQuanYi Zen Hei"/>
        <family val="2"/>
      </rPr>
      <t xml:space="preserve">穿過格子走到另一邊的旗子。格子上的數字＝它周圍 </t>
    </r>
    <r>
      <rPr>
        <sz val="11"/>
        <rFont val="Arial"/>
        <family val="0"/>
        <charset val="1"/>
      </rPr>
      <t xml:space="preserve">8 </t>
    </r>
    <r>
      <rPr>
        <sz val="11"/>
        <rFont val="WenQuanYi Zen Hei"/>
        <family val="2"/>
      </rPr>
      <t xml:space="preserve">格裡藏了幾個墨漬（</t>
    </r>
    <r>
      <rPr>
        <sz val="11"/>
        <rFont val="Arial"/>
        <family val="0"/>
        <charset val="1"/>
      </rPr>
      <t xml:space="preserve">0 </t>
    </r>
    <r>
      <rPr>
        <sz val="11"/>
        <rFont val="WenQuanYi Zen Hei"/>
        <family val="2"/>
      </rPr>
      <t xml:space="preserve">的格子會自動幫你翻開附近的格子）。踩到墨漬就失敗！</t>
    </r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</si>
  <si>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7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寬度：</t>
    </r>
    <r>
      <rPr>
        <sz val="11"/>
        <color rgb="FF0000FF"/>
        <rFont val="Arial"/>
        <family val="0"/>
        <charset val="1"/>
      </rPr>
      <t xml:space="preserve">3.45
</t>
    </r>
    <r>
      <rPr>
        <sz val="11"/>
        <color rgb="FF0000FF"/>
        <rFont val="WenQuanYi Zen Hei"/>
        <family val="2"/>
      </rPr>
      <t xml:space="preserve">格子深度：</t>
    </r>
    <r>
      <rPr>
        <sz val="11"/>
        <color rgb="FF0000FF"/>
        <rFont val="Arial"/>
        <family val="0"/>
        <charset val="1"/>
      </rPr>
      <t xml:space="preserve">2.6
</t>
    </r>
    <r>
      <rPr>
        <sz val="11"/>
        <color rgb="FF0000FF"/>
        <rFont val="WenQuanYi Zen Hei"/>
        <family val="2"/>
      </rPr>
      <t xml:space="preserve">墨漬數：第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40</t>
    </r>
  </si>
  <si>
    <t xml:space="preserve">dice</t>
  </si>
  <si>
    <t xml:space="preserve">骰子賭運</t>
  </si>
  <si>
    <t xml:space="preserve">骰子先生</t>
  </si>
  <si>
    <r>
      <rPr>
        <sz val="11"/>
        <rFont val="WenQuanYi Zen Hei"/>
        <family val="2"/>
      </rPr>
      <t xml:space="preserve">站上「大」或「小」下注，然後我來擲骰子：</t>
    </r>
    <r>
      <rPr>
        <sz val="11"/>
        <rFont val="Arial"/>
        <family val="0"/>
        <charset val="1"/>
      </rPr>
      <t xml:space="preserve">4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6 </t>
    </r>
    <r>
      <rPr>
        <sz val="11"/>
        <rFont val="WenQuanYi Zen Hei"/>
        <family val="2"/>
      </rPr>
      <t xml:space="preserve">是大、</t>
    </r>
    <r>
      <rPr>
        <sz val="11"/>
        <rFont val="Arial"/>
        <family val="0"/>
        <charset val="1"/>
      </rPr>
      <t xml:space="preserve">1</t>
    </r>
    <r>
      <rPr>
        <sz val="11"/>
        <rFont val="WenQuanYi Zen Hei"/>
        <family val="2"/>
      </rPr>
      <t xml:space="preserve">～</t>
    </r>
    <r>
      <rPr>
        <sz val="11"/>
        <rFont val="Arial"/>
        <family val="0"/>
        <charset val="1"/>
      </rPr>
      <t xml:space="preserve">3 </t>
    </r>
    <r>
      <rPr>
        <sz val="11"/>
        <rFont val="WenQuanYi Zen Hei"/>
        <family val="2"/>
      </rPr>
      <t xml:space="preserve">是小。猜對就有獎！</t>
    </r>
  </si>
  <si>
    <r>
      <rPr>
        <sz val="11"/>
        <color rgb="FF0000FF"/>
        <rFont val="WenQuanYi Zen Hei"/>
        <family val="2"/>
      </rPr>
      <t xml:space="preserve">踏板位置：</t>
    </r>
    <r>
      <rPr>
        <sz val="11"/>
        <color rgb="FF0000FF"/>
        <rFont val="Arial"/>
        <family val="0"/>
        <charset val="1"/>
      </rPr>
      <t xml:space="preserve">[-3.6, 3.6]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0.8
</t>
    </r>
    <r>
      <rPr>
        <sz val="11"/>
        <color rgb="FF0000FF"/>
        <rFont val="WenQuanYi Zen Hei"/>
        <family val="2"/>
      </rPr>
      <t xml:space="preserve">擲骰時間：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骰子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-2.4
</t>
    </r>
    <r>
      <rPr>
        <sz val="11"/>
        <color rgb="FF0000FF"/>
        <rFont val="WenQuanYi Zen Hei"/>
        <family val="2"/>
      </rPr>
      <t xml:space="preserve">尺寸：</t>
    </r>
    <r>
      <rPr>
        <sz val="11"/>
        <color rgb="FF0000FF"/>
        <rFont val="Arial"/>
        <family val="0"/>
        <charset val="1"/>
      </rPr>
      <t xml:space="preserve">1.3</t>
    </r>
  </si>
  <si>
    <t xml:space="preserve">plane</t>
  </si>
  <si>
    <t xml:space="preserve">紙飛機</t>
  </si>
  <si>
    <r>
      <rPr>
        <sz val="11"/>
        <rFont val="WenQuanYi Zen Hei"/>
        <family val="2"/>
      </rPr>
      <t xml:space="preserve">站在「丟」字發射台上瞄準垃圾桶，看準旁邊力道條的高度按 </t>
    </r>
    <r>
      <rPr>
        <sz val="11"/>
        <rFont val="Arial"/>
        <family val="0"/>
        <charset val="1"/>
      </rPr>
      <t xml:space="preserve">F</t>
    </r>
    <r>
      <rPr>
        <sz val="11"/>
        <rFont val="WenQuanYi Zen Hei"/>
        <family val="2"/>
      </rPr>
      <t xml:space="preserve">（觸控按互動鍵）丟出。有三次機會！</t>
    </r>
  </si>
  <si>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[0, 3.6]
</t>
    </r>
    <r>
      <rPr>
        <sz val="11"/>
        <color rgb="FF0000FF"/>
        <rFont val="WenQuanYi Zen Hei"/>
        <family val="2"/>
      </rPr>
      <t xml:space="preserve">發射台半徑：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次數：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垃圾桶半徑：</t>
    </r>
    <r>
      <rPr>
        <sz val="11"/>
        <color rgb="FF0000FF"/>
        <rFont val="Arial"/>
        <family val="0"/>
        <charset val="1"/>
      </rPr>
      <t xml:space="preserve">1.05
</t>
    </r>
    <r>
      <rPr>
        <sz val="11"/>
        <color rgb="FF0000FF"/>
        <rFont val="WenQuanYi Zen Hei"/>
        <family val="2"/>
      </rPr>
      <t xml:space="preserve">最短距離：</t>
    </r>
    <r>
      <rPr>
        <sz val="11"/>
        <color rgb="FF0000FF"/>
        <rFont val="Arial"/>
        <family val="0"/>
        <charset val="1"/>
      </rPr>
      <t xml:space="preserve">4
</t>
    </r>
    <r>
      <rPr>
        <sz val="11"/>
        <color rgb="FF0000FF"/>
        <rFont val="WenQuanYi Zen Hei"/>
        <family val="2"/>
      </rPr>
      <t xml:space="preserve">最遠距離：</t>
    </r>
    <r>
      <rPr>
        <sz val="11"/>
        <color rgb="FF0000FF"/>
        <rFont val="Arial"/>
        <family val="0"/>
        <charset val="1"/>
      </rPr>
      <t xml:space="preserve">12
</t>
    </r>
    <r>
      <rPr>
        <sz val="11"/>
        <color rgb="FF0000FF"/>
        <rFont val="WenQuanYi Zen Hei"/>
        <family val="2"/>
      </rPr>
      <t xml:space="preserve">力道條速度：第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1.35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1.6
</t>
    </r>
    <r>
      <rPr>
        <sz val="11"/>
        <color rgb="FF0000FF"/>
        <rFont val="WenQuanYi Zen Hei"/>
        <family val="2"/>
      </rPr>
      <t xml:space="preserve">飛行時間：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[-4.6, -2.2]
</t>
    </r>
    <r>
      <rPr>
        <sz val="11"/>
        <color rgb="FF0000FF"/>
        <rFont val="WenQuanYi Zen Hei"/>
        <family val="2"/>
      </rPr>
      <t xml:space="preserve">垃圾桶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範圍：</t>
    </r>
    <r>
      <rPr>
        <sz val="11"/>
        <color rgb="FF0000FF"/>
        <rFont val="Arial"/>
        <family val="0"/>
        <charset val="1"/>
      </rPr>
      <t xml:space="preserve">6.5</t>
    </r>
  </si>
  <si>
    <t xml:space="preserve">maze</t>
  </si>
  <si>
    <t xml:space="preserve">書本迷宮</t>
  </si>
  <si>
    <t xml:space="preserve">尺</t>
  </si>
  <si>
    <t xml:space="preserve">書本會圍成迷宮，在時間內走到紅色星星那一格！</t>
  </si>
  <si>
    <r>
      <rPr>
        <sz val="11"/>
        <color rgb="FF0000FF"/>
        <rFont val="WenQuanYi Zen Hei"/>
        <family val="2"/>
      </rPr>
      <t xml:space="preserve">欄：</t>
    </r>
    <r>
      <rPr>
        <sz val="11"/>
        <color rgb="FF0000FF"/>
        <rFont val="Arial"/>
        <family val="0"/>
        <charset val="1"/>
      </rPr>
      <t xml:space="preserve">8
</t>
    </r>
    <r>
      <rPr>
        <sz val="11"/>
        <color rgb="FF0000FF"/>
        <rFont val="WenQuanYi Zen Hei"/>
        <family val="2"/>
      </rPr>
      <t xml:space="preserve">列：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格子大小：</t>
    </r>
    <r>
      <rPr>
        <sz val="11"/>
        <color rgb="FF0000FF"/>
        <rFont val="Arial"/>
        <family val="0"/>
        <charset val="1"/>
      </rPr>
      <t xml:space="preserve">2.5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-10
</t>
    </r>
    <r>
      <rPr>
        <sz val="11"/>
        <color rgb="FF0000FF"/>
        <rFont val="WenQuanYi Zen Hei"/>
        <family val="2"/>
      </rPr>
      <t xml:space="preserve">起點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-6.25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20
</t>
    </r>
    <r>
      <rPr>
        <sz val="11"/>
        <color rgb="FF0000FF"/>
        <rFont val="WenQuanYi Zen Hei"/>
        <family val="2"/>
      </rPr>
      <t xml:space="preserve">牆厚：</t>
    </r>
    <r>
      <rPr>
        <sz val="11"/>
        <color rgb="FF0000FF"/>
        <rFont val="Arial"/>
        <family val="0"/>
        <charset val="1"/>
      </rPr>
      <t xml:space="preserve">0.32
</t>
    </r>
    <r>
      <rPr>
        <sz val="11"/>
        <color rgb="FF0000FF"/>
        <rFont val="WenQuanYi Zen Hei"/>
        <family val="2"/>
      </rPr>
      <t xml:space="preserve">牆高：</t>
    </r>
    <r>
      <rPr>
        <sz val="11"/>
        <color rgb="FF0000FF"/>
        <rFont val="Arial"/>
        <family val="0"/>
        <charset val="1"/>
      </rPr>
      <t xml:space="preserve">1</t>
    </r>
  </si>
  <si>
    <t xml:space="preserve">rhythm</t>
  </si>
  <si>
    <t xml:space="preserve">節奏踩點</t>
  </si>
  <si>
    <t xml:space="preserve">節拍器</t>
  </si>
  <si>
    <t xml:space="preserve">音符會從天上掉到三個圈圈裡。音符落地時，站在它掉下的那個圈裡接住它！</t>
  </si>
  <si>
    <r>
      <rPr>
        <sz val="11"/>
        <color rgb="FF0000FF"/>
        <rFont val="WenQuanYi Zen Hei"/>
        <family val="2"/>
      </rPr>
      <t xml:space="preserve">軌道</t>
    </r>
    <r>
      <rPr>
        <sz val="11"/>
        <color rgb="FF0000FF"/>
        <rFont val="Arial"/>
        <family val="0"/>
        <charset val="1"/>
      </rPr>
      <t xml:space="preserve">X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-3.6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3.6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1.25
</t>
    </r>
    <r>
      <rPr>
        <sz val="11"/>
        <color rgb="FF0000FF"/>
        <rFont val="WenQuanYi Zen Hei"/>
        <family val="2"/>
      </rPr>
      <t xml:space="preserve">數量：第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12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14
</t>
    </r>
    <r>
      <rPr>
        <sz val="11"/>
        <color rgb="FF0000FF"/>
        <rFont val="WenQuanYi Zen Hei"/>
        <family val="2"/>
      </rPr>
      <t xml:space="preserve">間距：第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0.85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0.72
</t>
    </r>
    <r>
      <rPr>
        <sz val="11"/>
        <color rgb="FF0000FF"/>
        <rFont val="WenQuanYi Zen Hei"/>
        <family val="2"/>
      </rPr>
      <t xml:space="preserve">掉落時間：</t>
    </r>
    <r>
      <rPr>
        <sz val="11"/>
        <color rgb="FF0000FF"/>
        <rFont val="Arial"/>
        <family val="0"/>
        <charset val="1"/>
      </rPr>
      <t xml:space="preserve">1.4
</t>
    </r>
    <r>
      <rPr>
        <sz val="11"/>
        <color rgb="FF0000FF"/>
        <rFont val="WenQuanYi Zen Hei"/>
        <family val="2"/>
      </rPr>
      <t xml:space="preserve">可失誤次數：第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
</t>
    </r>
    <r>
      <rPr>
        <sz val="11"/>
        <color rgb="FF0000FF"/>
        <rFont val="WenQuanYi Zen Hei"/>
        <family val="2"/>
      </rPr>
      <t xml:space="preserve">開場延遲：</t>
    </r>
    <r>
      <rPr>
        <sz val="11"/>
        <color rgb="FF0000FF"/>
        <rFont val="Arial"/>
        <family val="0"/>
        <charset val="1"/>
      </rPr>
      <t xml:space="preserve">1.2</t>
    </r>
  </si>
  <si>
    <t xml:space="preserve">shadow</t>
  </si>
  <si>
    <t xml:space="preserve">跟著影子走</t>
  </si>
  <si>
    <t xml:space="preserve">塗鴉幽靈</t>
  </si>
  <si>
    <t xml:space="preserve">我的影子會依序走過幾個叉叉。記住它走的順序，再照同樣順序踩一遍！</t>
  </si>
  <si>
    <r>
      <rPr>
        <sz val="11"/>
        <color rgb="FF0000FF"/>
        <rFont val="WenQuanYi Zen Hei"/>
        <family val="2"/>
      </rPr>
      <t xml:space="preserve">叉叉數：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序列長度：第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影子速度：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最小間距：</t>
    </r>
    <r>
      <rPr>
        <sz val="11"/>
        <color rgb="FF0000FF"/>
        <rFont val="Arial"/>
        <family val="0"/>
        <charset val="1"/>
      </rPr>
      <t xml:space="preserve">3.2
</t>
    </r>
    <r>
      <rPr>
        <sz val="11"/>
        <color rgb="FF0000FF"/>
        <rFont val="WenQuanYi Zen Hei"/>
        <family val="2"/>
      </rPr>
      <t xml:space="preserve">叉叉半徑：</t>
    </r>
    <r>
      <rPr>
        <sz val="11"/>
        <color rgb="FF0000FF"/>
        <rFont val="Arial"/>
        <family val="0"/>
        <charset val="1"/>
      </rPr>
      <t xml:space="preserve">0.9
</t>
    </r>
    <r>
      <rPr>
        <sz val="11"/>
        <color rgb="FF0000FF"/>
        <rFont val="WenQuanYi Zen Hei"/>
        <family val="2"/>
      </rPr>
      <t xml:space="preserve">停頓：</t>
    </r>
    <r>
      <rPr>
        <sz val="11"/>
        <color rgb="FF0000FF"/>
        <rFont val="Arial"/>
        <family val="0"/>
        <charset val="1"/>
      </rPr>
      <t xml:space="preserve">0.35</t>
    </r>
  </si>
  <si>
    <t xml:space="preserve">marble</t>
  </si>
  <si>
    <t xml:space="preserve">滾彈珠</t>
  </si>
  <si>
    <t xml:space="preserve">彈珠</t>
  </si>
  <si>
    <t xml:space="preserve">用身體把紅色彈珠撞進前方的紅圈。地上的黑洞會吃掉彈珠！</t>
  </si>
  <si>
    <r>
      <rPr>
        <sz val="11"/>
        <color rgb="FF0000FF"/>
        <rFont val="WenQuanYi Zen Hei"/>
        <family val="2"/>
      </rPr>
      <t xml:space="preserve">彈珠半徑：</t>
    </r>
    <r>
      <rPr>
        <sz val="11"/>
        <color rgb="FF0000FF"/>
        <rFont val="Arial"/>
        <family val="0"/>
        <charset val="1"/>
      </rPr>
      <t xml:space="preserve">0.45
</t>
    </r>
    <r>
      <rPr>
        <sz val="11"/>
        <color rgb="FF0000FF"/>
        <rFont val="WenQuanYi Zen Hei"/>
        <family val="2"/>
      </rPr>
      <t xml:space="preserve">限時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30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28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26
</t>
    </r>
    <r>
      <rPr>
        <sz val="11"/>
        <color rgb="FF0000FF"/>
        <rFont val="WenQuanYi Zen Hei"/>
        <family val="2"/>
      </rPr>
      <t xml:space="preserve">黑洞數：第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4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
</t>
    </r>
    <r>
      <rPr>
        <sz val="11"/>
        <color rgb="FF0000FF"/>
        <rFont val="WenQuanYi Zen Hei"/>
        <family val="2"/>
      </rPr>
      <t xml:space="preserve">黑洞半徑：</t>
    </r>
    <r>
      <rPr>
        <sz val="11"/>
        <color rgb="FF0000FF"/>
        <rFont val="Arial"/>
        <family val="0"/>
        <charset val="1"/>
      </rPr>
      <t xml:space="preserve">0.85
</t>
    </r>
    <r>
      <rPr>
        <sz val="11"/>
        <color rgb="FF0000FF"/>
        <rFont val="WenQuanYi Zen Hei"/>
        <family val="2"/>
      </rPr>
      <t xml:space="preserve">目標半徑：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撞擊力：</t>
    </r>
    <r>
      <rPr>
        <sz val="11"/>
        <color rgb="FF0000FF"/>
        <rFont val="Arial"/>
        <family val="0"/>
        <charset val="1"/>
      </rPr>
      <t xml:space="preserve">6
</t>
    </r>
    <r>
      <rPr>
        <sz val="11"/>
        <color rgb="FF0000FF"/>
        <rFont val="WenQuanYi Zen Hei"/>
        <family val="2"/>
      </rPr>
      <t xml:space="preserve">摩擦：</t>
    </r>
    <r>
      <rPr>
        <sz val="11"/>
        <color rgb="FF0000FF"/>
        <rFont val="Arial"/>
        <family val="0"/>
        <charset val="1"/>
      </rPr>
      <t xml:space="preserve">1.1
</t>
    </r>
    <r>
      <rPr>
        <sz val="11"/>
        <color rgb="FF0000FF"/>
        <rFont val="WenQuanYi Zen Hei"/>
        <family val="2"/>
      </rPr>
      <t xml:space="preserve">反彈：</t>
    </r>
    <r>
      <rPr>
        <sz val="11"/>
        <color rgb="FF0000FF"/>
        <rFont val="Arial"/>
        <family val="0"/>
        <charset val="1"/>
      </rPr>
      <t xml:space="preserve">0.6</t>
    </r>
  </si>
  <si>
    <t xml:space="preserve">cups</t>
  </si>
  <si>
    <t xml:space="preserve">猜杯子</t>
  </si>
  <si>
    <t xml:space="preserve">咖啡杯</t>
  </si>
  <si>
    <t xml:space="preserve">墨珠藏在其中一個杯子底下。我會把杯子打亂，看清楚之後站到你猜的杯子前面！</t>
  </si>
  <si>
    <r>
      <rPr>
        <sz val="11"/>
        <color rgb="FF0000FF"/>
        <rFont val="Arial"/>
        <family val="0"/>
        <charset val="1"/>
      </rPr>
      <t xml:space="preserve">counts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[[3, 3, 4], [3, 4, 5], [4, 5, 5]]
spacing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3
</t>
    </r>
    <r>
      <rPr>
        <sz val="11"/>
        <color rgb="FF0000FF"/>
        <rFont val="WenQuanYi Zen Hei"/>
        <family val="2"/>
      </rPr>
      <t xml:space="preserve">位置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-1.2
</t>
    </r>
    <r>
      <rPr>
        <sz val="11"/>
        <color rgb="FF0000FF"/>
        <rFont val="WenQuanYi Zen Hei"/>
        <family val="2"/>
      </rPr>
      <t xml:space="preserve">踏板</t>
    </r>
    <r>
      <rPr>
        <sz val="11"/>
        <color rgb="FF0000FF"/>
        <rFont val="Arial"/>
        <family val="0"/>
        <charset val="1"/>
      </rPr>
      <t xml:space="preserve">Z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踏板半徑：</t>
    </r>
    <r>
      <rPr>
        <sz val="11"/>
        <color rgb="FF0000FF"/>
        <rFont val="Arial"/>
        <family val="0"/>
        <charset val="1"/>
      </rPr>
      <t xml:space="preserve">1
</t>
    </r>
    <r>
      <rPr>
        <sz val="11"/>
        <color rgb="FF0000FF"/>
        <rFont val="WenQuanYi Zen Hei"/>
        <family val="2"/>
      </rPr>
      <t xml:space="preserve">交換次數：第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7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9
</t>
    </r>
    <r>
      <rPr>
        <sz val="11"/>
        <color rgb="FF0000FF"/>
        <rFont val="WenQuanYi Zen Hei"/>
        <family val="2"/>
      </rPr>
      <t xml:space="preserve">每次交換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：第</t>
    </r>
    <r>
      <rPr>
        <sz val="11"/>
        <color rgb="FF0000FF"/>
        <rFont val="Arial"/>
        <family val="0"/>
        <charset val="1"/>
      </rPr>
      <t xml:space="preserve">1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0.55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2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0.45</t>
    </r>
    <r>
      <rPr>
        <sz val="11"/>
        <color rgb="FF0000FF"/>
        <rFont val="WenQuanYi Zen Hei"/>
        <family val="2"/>
      </rPr>
      <t xml:space="preserve">／第</t>
    </r>
    <r>
      <rPr>
        <sz val="11"/>
        <color rgb="FF0000FF"/>
        <rFont val="Arial"/>
        <family val="0"/>
        <charset val="1"/>
      </rPr>
      <t xml:space="preserve">3</t>
    </r>
    <r>
      <rPr>
        <sz val="11"/>
        <color rgb="FF0000FF"/>
        <rFont val="WenQuanYi Zen Hei"/>
        <family val="2"/>
      </rPr>
      <t xml:space="preserve">幕 </t>
    </r>
    <r>
      <rPr>
        <sz val="11"/>
        <color rgb="FF0000FF"/>
        <rFont val="Arial"/>
        <family val="0"/>
        <charset val="1"/>
      </rPr>
      <t xml:space="preserve">0.38
</t>
    </r>
    <r>
      <rPr>
        <sz val="11"/>
        <color rgb="FF0000FF"/>
        <rFont val="WenQuanYi Zen Hei"/>
        <family val="2"/>
      </rPr>
      <t xml:space="preserve">偷看時間：</t>
    </r>
    <r>
      <rPr>
        <sz val="11"/>
        <color rgb="FF0000FF"/>
        <rFont val="Arial"/>
        <family val="0"/>
        <charset val="1"/>
      </rPr>
      <t xml:space="preserve">1.2
</t>
    </r>
    <r>
      <rPr>
        <sz val="11"/>
        <color rgb="FF0000FF"/>
        <rFont val="WenQuanYi Zen Hei"/>
        <family val="2"/>
      </rPr>
      <t xml:space="preserve">停留確認</t>
    </r>
    <r>
      <rPr>
        <sz val="11"/>
        <color rgb="FF0000FF"/>
        <rFont val="Arial"/>
        <family val="0"/>
        <charset val="1"/>
      </rPr>
      <t xml:space="preserve">(</t>
    </r>
    <r>
      <rPr>
        <sz val="11"/>
        <color rgb="FF0000FF"/>
        <rFont val="WenQuanYi Zen Hei"/>
        <family val="2"/>
      </rPr>
      <t xml:space="preserve">秒</t>
    </r>
    <r>
      <rPr>
        <sz val="11"/>
        <color rgb="FF0000FF"/>
        <rFont val="Arial"/>
        <family val="0"/>
        <charset val="1"/>
      </rPr>
      <t xml:space="preserve">)</t>
    </r>
    <r>
      <rPr>
        <sz val="11"/>
        <color rgb="FF0000FF"/>
        <rFont val="WenQuanYi Zen Hei"/>
        <family val="2"/>
      </rPr>
      <t xml:space="preserve">：</t>
    </r>
    <r>
      <rPr>
        <sz val="11"/>
        <color rgb="FF0000FF"/>
        <rFont val="Arial"/>
        <family val="0"/>
        <charset val="1"/>
      </rPr>
      <t xml:space="preserve">0.6
</t>
    </r>
    <r>
      <rPr>
        <sz val="11"/>
        <color rgb="FF0000FF"/>
        <rFont val="WenQuanYi Zen Hei"/>
        <family val="2"/>
      </rPr>
      <t xml:space="preserve">掀起高度：</t>
    </r>
    <r>
      <rPr>
        <sz val="11"/>
        <color rgb="FF0000FF"/>
        <rFont val="Arial"/>
        <family val="0"/>
        <charset val="1"/>
      </rPr>
      <t xml:space="preserve">1.4</t>
    </r>
  </si>
  <si>
    <t xml:space="preserve">權重</t>
  </si>
  <si>
    <t xml:space="preserve">效果</t>
  </si>
  <si>
    <t xml:space="preserve">機率</t>
  </si>
  <si>
    <t xml:space="preserve">過關獎勵</t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</si>
  <si>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+500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</si>
  <si>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+800</t>
    </r>
  </si>
  <si>
    <t xml:space="preserve">選一張卡</t>
  </si>
  <si>
    <t xml:space="preserve">選一張卡（稀有）</t>
  </si>
  <si>
    <r>
      <rPr>
        <sz val="11"/>
        <rFont val="WenQuanYi Zen Hei"/>
        <family val="2"/>
      </rPr>
      <t xml:space="preserve">回復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</si>
  <si>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墨水 </t>
    </r>
    <r>
      <rPr>
        <sz val="11"/>
        <rFont val="Arial"/>
        <family val="0"/>
        <charset val="1"/>
      </rPr>
      <t xml:space="preserve">+4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</si>
  <si>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張卡</t>
    </r>
  </si>
  <si>
    <r>
      <rPr>
        <sz val="11"/>
        <rFont val="WenQuanYi Zen Hei"/>
        <family val="2"/>
      </rPr>
      <t xml:space="preserve">隨機升級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張卡</t>
    </r>
  </si>
  <si>
    <t xml:space="preserve">直接獲得一張普通卡</t>
  </si>
  <si>
    <t xml:space="preserve">直接獲得一張稀有卡</t>
  </si>
  <si>
    <t xml:space="preserve">武器交換（三把選一）</t>
  </si>
  <si>
    <t xml:space="preserve">失敗懲罰</t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</si>
  <si>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1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</si>
  <si>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失去 </t>
    </r>
    <r>
      <rPr>
        <sz val="11"/>
        <rFont val="Arial"/>
        <family val="0"/>
        <charset val="1"/>
      </rPr>
      <t xml:space="preserve">2 </t>
    </r>
    <r>
      <rPr>
        <sz val="11"/>
        <rFont val="WenQuanYi Zen Hei"/>
        <family val="2"/>
      </rPr>
      <t xml:space="preserve">生命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</si>
  <si>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-300</t>
    </r>
  </si>
  <si>
    <r>
      <rPr>
        <sz val="11"/>
        <rFont val="WenQuanYi Zen Hei"/>
        <family val="2"/>
      </rPr>
      <t xml:space="preserve">分數 </t>
    </r>
    <r>
      <rPr>
        <sz val="11"/>
        <rFont val="Arial"/>
        <family val="0"/>
        <charset val="1"/>
      </rPr>
      <t xml:space="preserve">-600</t>
    </r>
  </si>
  <si>
    <t xml:space="preserve">隨機移除一張卡</t>
  </si>
  <si>
    <t xml:space="preserve">隨機一張卡失去升級</t>
  </si>
  <si>
    <t xml:space="preserve">下一場一般戰變精英戰</t>
  </si>
  <si>
    <t xml:space="preserve">觸發伏擊戰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</si>
</sst>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4"/>
      <name val="WenQuanYi Zen Hei"/>
      <family val="2"/>
    </font>
    <font>
      <b val="true"/>
      <sz val="11"/>
      <name val="WenQuanYi Zen Hei"/>
      <family val="2"/>
    </font>
    <font>
      <sz val="11"/>
      <name val="WenQuanYi Zen Hei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WenQuanYi Zen Hei"/>
      <family val="2"/>
    </font>
    <font>
      <sz val="11"/>
      <color rgb="FF0000FF"/>
      <name val="Arial"/>
      <family val="0"/>
      <charset val="1"/>
    </font>
    <font>
      <sz val="11"/>
      <color rgb="FF0000FF"/>
      <name val="WenQuanYi Zen Hei"/>
      <family val="2"/>
    </font>
    <font>
      <sz val="10"/>
      <name val="WenQuanYi Zen Hei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B2B2B"/>
        <bgColor rgb="FF333300"/>
      </patternFill>
    </fill>
    <fill>
      <patternFill patternType="solid">
        <fgColor rgb="FFFFFF00"/>
        <bgColor rgb="FFFFFF00"/>
      </patternFill>
    </fill>
    <fill>
      <patternFill patternType="solid">
        <fgColor rgb="FFFBE3E3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2B2B2B"/>
          <bgColor rgb="FF000000"/>
        </patternFill>
      </fill>
    </dxf>
    <dxf>
      <fill>
        <patternFill patternType="solid">
          <fgColor rgb="FFFBE3E3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BE3E3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B2B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s">
        <v>2</v>
      </c>
    </row>
    <row r="4" customFormat="false" ht="28.35" hidden="false" customHeight="false" outlineLevel="0" collapsed="false">
      <c r="A4" s="2" t="s">
        <v>3</v>
      </c>
      <c r="B4" s="3" t="s">
        <v>4</v>
      </c>
    </row>
    <row r="5" customFormat="false" ht="28.35" hidden="false" customHeight="false" outlineLevel="0" collapsed="false">
      <c r="A5" s="2" t="s">
        <v>5</v>
      </c>
      <c r="B5" s="3" t="s">
        <v>6</v>
      </c>
    </row>
    <row r="6" customFormat="false" ht="15" hidden="false" customHeight="false" outlineLevel="0" collapsed="false">
      <c r="A6" s="2" t="s">
        <v>7</v>
      </c>
      <c r="B6" s="3" t="s">
        <v>8</v>
      </c>
    </row>
    <row r="7" customFormat="false" ht="15" hidden="false" customHeight="false" outlineLevel="0" collapsed="false">
      <c r="A7" s="2" t="s">
        <v>9</v>
      </c>
      <c r="B7" s="3" t="s">
        <v>10</v>
      </c>
    </row>
    <row r="8" customFormat="false" ht="28.35" hidden="false" customHeight="false" outlineLevel="0" collapsed="false">
      <c r="A8" s="2" t="s">
        <v>11</v>
      </c>
      <c r="B8" s="3" t="s">
        <v>12</v>
      </c>
    </row>
    <row r="9" customFormat="false" ht="28.35" hidden="false" customHeight="false" outlineLevel="0" collapsed="false">
      <c r="A9" s="2" t="s">
        <v>13</v>
      </c>
      <c r="B9" s="3" t="s">
        <v>14</v>
      </c>
    </row>
    <row r="10" customFormat="false" ht="15" hidden="false" customHeight="false" outlineLevel="0" collapsed="false">
      <c r="A10" s="2" t="s">
        <v>15</v>
      </c>
      <c r="B10" s="3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2"/>
    <col collapsed="false" customWidth="true" hidden="false" outlineLevel="0" max="3" min="3" style="0" width="9"/>
    <col collapsed="false" customWidth="true" hidden="false" outlineLevel="0" max="4" min="4" style="0" width="8"/>
    <col collapsed="false" customWidth="true" hidden="false" outlineLevel="0" max="5" min="5" style="0" width="14"/>
    <col collapsed="false" customWidth="true" hidden="false" outlineLevel="0" max="6" min="6" style="0" width="11"/>
    <col collapsed="false" customWidth="true" hidden="false" outlineLevel="0" max="7" min="7" style="0" width="7"/>
    <col collapsed="false" customWidth="true" hidden="false" outlineLevel="0" max="8" min="8" style="0" width="8"/>
    <col collapsed="false" customWidth="true" hidden="false" outlineLevel="0" max="9" min="9" style="0" width="9"/>
    <col collapsed="false" customWidth="true" hidden="false" outlineLevel="0" max="10" min="10" style="0" width="7"/>
    <col collapsed="false" customWidth="true" hidden="false" outlineLevel="0" max="11" min="11" style="0" width="8"/>
    <col collapsed="false" customWidth="true" hidden="false" outlineLevel="0" max="13" min="12" style="0" width="20"/>
    <col collapsed="false" customWidth="true" hidden="false" outlineLevel="0" max="15" min="14" style="0" width="40"/>
    <col collapsed="false" customWidth="true" hidden="false" outlineLevel="0" max="16" min="16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19</v>
      </c>
      <c r="D1" s="5" t="s">
        <v>20</v>
      </c>
      <c r="E1" s="5" t="s">
        <v>21</v>
      </c>
      <c r="F1" s="5" t="s">
        <v>22</v>
      </c>
      <c r="G1" s="5" t="s">
        <v>23</v>
      </c>
      <c r="H1" s="5" t="s">
        <v>24</v>
      </c>
      <c r="I1" s="5" t="s">
        <v>25</v>
      </c>
      <c r="J1" s="5" t="s">
        <v>26</v>
      </c>
      <c r="K1" s="5" t="s">
        <v>27</v>
      </c>
      <c r="L1" s="5" t="s">
        <v>28</v>
      </c>
      <c r="M1" s="5" t="s">
        <v>29</v>
      </c>
      <c r="N1" s="5" t="s">
        <v>30</v>
      </c>
      <c r="O1" s="5" t="s">
        <v>31</v>
      </c>
      <c r="P1" s="5" t="s">
        <v>32</v>
      </c>
    </row>
    <row r="2" customFormat="false" ht="55.2" hidden="false" customHeight="false" outlineLevel="0" collapsed="false">
      <c r="A2" s="6" t="s">
        <v>33</v>
      </c>
      <c r="B2" s="7" t="s">
        <v>34</v>
      </c>
      <c r="C2" s="7" t="s">
        <v>35</v>
      </c>
      <c r="D2" s="7" t="s">
        <v>36</v>
      </c>
      <c r="E2" s="7" t="s">
        <v>37</v>
      </c>
      <c r="F2" s="7" t="s">
        <v>38</v>
      </c>
      <c r="G2" s="8" t="n">
        <v>9</v>
      </c>
      <c r="H2" s="8" t="n">
        <v>1</v>
      </c>
      <c r="I2" s="8" t="n">
        <v>1</v>
      </c>
      <c r="J2" s="8" t="n">
        <v>2</v>
      </c>
      <c r="K2" s="8" t="n">
        <v>2</v>
      </c>
      <c r="L2" s="9" t="s">
        <v>39</v>
      </c>
      <c r="M2" s="9" t="s">
        <v>40</v>
      </c>
      <c r="N2" s="7" t="s">
        <v>41</v>
      </c>
      <c r="O2" s="7" t="s">
        <v>42</v>
      </c>
      <c r="P2" s="10" t="s">
        <v>43</v>
      </c>
    </row>
    <row r="3" customFormat="false" ht="41.75" hidden="false" customHeight="false" outlineLevel="0" collapsed="false">
      <c r="A3" s="6" t="s">
        <v>44</v>
      </c>
      <c r="B3" s="7" t="s">
        <v>45</v>
      </c>
      <c r="C3" s="7" t="s">
        <v>35</v>
      </c>
      <c r="D3" s="7" t="s">
        <v>36</v>
      </c>
      <c r="E3" s="7" t="s">
        <v>37</v>
      </c>
      <c r="F3" s="7" t="s">
        <v>38</v>
      </c>
      <c r="G3" s="8" t="n">
        <v>16</v>
      </c>
      <c r="H3" s="8" t="n">
        <v>1</v>
      </c>
      <c r="I3" s="8" t="n">
        <v>1</v>
      </c>
      <c r="J3" s="8" t="n">
        <v>2</v>
      </c>
      <c r="K3" s="8" t="n">
        <v>2</v>
      </c>
      <c r="L3" s="9" t="s">
        <v>46</v>
      </c>
      <c r="M3" s="9" t="s">
        <v>47</v>
      </c>
      <c r="N3" s="7" t="s">
        <v>48</v>
      </c>
      <c r="O3" s="7" t="s">
        <v>49</v>
      </c>
      <c r="P3" s="10"/>
    </row>
    <row r="4" customFormat="false" ht="28.35" hidden="false" customHeight="false" outlineLevel="0" collapsed="false">
      <c r="A4" s="6" t="s">
        <v>50</v>
      </c>
      <c r="B4" s="7" t="s">
        <v>51</v>
      </c>
      <c r="C4" s="7" t="s">
        <v>35</v>
      </c>
      <c r="D4" s="7" t="s">
        <v>36</v>
      </c>
      <c r="E4" s="7" t="s">
        <v>37</v>
      </c>
      <c r="F4" s="7" t="s">
        <v>52</v>
      </c>
      <c r="G4" s="8"/>
      <c r="H4" s="8" t="n">
        <v>1</v>
      </c>
      <c r="I4" s="8" t="n">
        <v>0</v>
      </c>
      <c r="J4" s="8" t="n">
        <v>2</v>
      </c>
      <c r="K4" s="8" t="n">
        <v>2</v>
      </c>
      <c r="L4" s="9" t="s">
        <v>53</v>
      </c>
      <c r="M4" s="9" t="s">
        <v>54</v>
      </c>
      <c r="N4" s="7" t="s">
        <v>55</v>
      </c>
      <c r="O4" s="7" t="s">
        <v>56</v>
      </c>
      <c r="P4" s="10"/>
    </row>
    <row r="5" customFormat="false" ht="28.35" hidden="false" customHeight="false" outlineLevel="0" collapsed="false">
      <c r="A5" s="6" t="s">
        <v>57</v>
      </c>
      <c r="B5" s="7" t="s">
        <v>58</v>
      </c>
      <c r="C5" s="7" t="s">
        <v>35</v>
      </c>
      <c r="D5" s="7" t="s">
        <v>36</v>
      </c>
      <c r="E5" s="7" t="s">
        <v>59</v>
      </c>
      <c r="F5" s="7" t="s">
        <v>60</v>
      </c>
      <c r="G5" s="8" t="n">
        <v>10</v>
      </c>
      <c r="H5" s="8" t="n">
        <v>1</v>
      </c>
      <c r="I5" s="8" t="n">
        <v>1</v>
      </c>
      <c r="J5" s="8" t="n">
        <v>3</v>
      </c>
      <c r="K5" s="8" t="n">
        <v>3</v>
      </c>
      <c r="L5" s="9" t="s">
        <v>61</v>
      </c>
      <c r="M5" s="9" t="s">
        <v>62</v>
      </c>
      <c r="N5" s="7" t="s">
        <v>63</v>
      </c>
      <c r="O5" s="7" t="s">
        <v>64</v>
      </c>
      <c r="P5" s="10"/>
    </row>
    <row r="6" customFormat="false" ht="28.35" hidden="false" customHeight="false" outlineLevel="0" collapsed="false">
      <c r="A6" s="6" t="s">
        <v>65</v>
      </c>
      <c r="B6" s="7" t="s">
        <v>66</v>
      </c>
      <c r="C6" s="7" t="s">
        <v>35</v>
      </c>
      <c r="D6" s="7" t="s">
        <v>36</v>
      </c>
      <c r="E6" s="7" t="s">
        <v>67</v>
      </c>
      <c r="F6" s="7" t="s">
        <v>52</v>
      </c>
      <c r="G6" s="8"/>
      <c r="H6" s="8" t="n">
        <v>1</v>
      </c>
      <c r="I6" s="8" t="n">
        <v>0</v>
      </c>
      <c r="J6" s="8" t="n">
        <v>2</v>
      </c>
      <c r="K6" s="8" t="n">
        <v>2</v>
      </c>
      <c r="L6" s="9" t="s">
        <v>68</v>
      </c>
      <c r="M6" s="9" t="s">
        <v>69</v>
      </c>
      <c r="N6" s="6" t="s">
        <v>70</v>
      </c>
      <c r="O6" s="6" t="s">
        <v>71</v>
      </c>
      <c r="P6" s="10"/>
    </row>
    <row r="7" customFormat="false" ht="41.75" hidden="false" customHeight="false" outlineLevel="0" collapsed="false">
      <c r="A7" s="6" t="s">
        <v>72</v>
      </c>
      <c r="B7" s="7" t="s">
        <v>73</v>
      </c>
      <c r="C7" s="7" t="s">
        <v>35</v>
      </c>
      <c r="D7" s="7" t="s">
        <v>74</v>
      </c>
      <c r="E7" s="7" t="s">
        <v>75</v>
      </c>
      <c r="F7" s="7" t="s">
        <v>76</v>
      </c>
      <c r="G7" s="8" t="n">
        <v>10</v>
      </c>
      <c r="H7" s="8" t="n">
        <v>1</v>
      </c>
      <c r="I7" s="8" t="n">
        <v>1</v>
      </c>
      <c r="J7" s="8" t="n">
        <v>2</v>
      </c>
      <c r="K7" s="8" t="n">
        <v>2</v>
      </c>
      <c r="L7" s="9" t="s">
        <v>77</v>
      </c>
      <c r="M7" s="9" t="s">
        <v>78</v>
      </c>
      <c r="N7" s="7" t="s">
        <v>79</v>
      </c>
      <c r="O7" s="7" t="s">
        <v>80</v>
      </c>
      <c r="P7" s="10"/>
    </row>
    <row r="8" customFormat="false" ht="28.35" hidden="false" customHeight="false" outlineLevel="0" collapsed="false">
      <c r="A8" s="6" t="s">
        <v>81</v>
      </c>
      <c r="B8" s="7" t="s">
        <v>82</v>
      </c>
      <c r="C8" s="7" t="s">
        <v>35</v>
      </c>
      <c r="D8" s="7" t="s">
        <v>74</v>
      </c>
      <c r="E8" s="7" t="s">
        <v>83</v>
      </c>
      <c r="F8" s="7" t="s">
        <v>38</v>
      </c>
      <c r="G8" s="8" t="n">
        <v>7</v>
      </c>
      <c r="H8" s="8" t="n">
        <v>1</v>
      </c>
      <c r="I8" s="8" t="n">
        <v>1</v>
      </c>
      <c r="J8" s="8" t="n">
        <v>2</v>
      </c>
      <c r="K8" s="8" t="n">
        <v>2</v>
      </c>
      <c r="L8" s="9" t="s">
        <v>84</v>
      </c>
      <c r="M8" s="9" t="s">
        <v>85</v>
      </c>
      <c r="N8" s="7" t="s">
        <v>86</v>
      </c>
      <c r="O8" s="7" t="s">
        <v>87</v>
      </c>
      <c r="P8" s="10"/>
    </row>
    <row r="9" customFormat="false" ht="15" hidden="false" customHeight="false" outlineLevel="0" collapsed="false">
      <c r="A9" s="6" t="s">
        <v>88</v>
      </c>
      <c r="B9" s="7" t="s">
        <v>89</v>
      </c>
      <c r="C9" s="7" t="s">
        <v>35</v>
      </c>
      <c r="D9" s="7" t="s">
        <v>74</v>
      </c>
      <c r="E9" s="7" t="s">
        <v>90</v>
      </c>
      <c r="F9" s="7" t="s">
        <v>60</v>
      </c>
      <c r="G9" s="8" t="n">
        <v>14</v>
      </c>
      <c r="H9" s="8" t="n">
        <v>1</v>
      </c>
      <c r="I9" s="8" t="n">
        <v>0</v>
      </c>
      <c r="J9" s="8" t="n">
        <v>1</v>
      </c>
      <c r="K9" s="8" t="n">
        <v>1</v>
      </c>
      <c r="L9" s="9" t="s">
        <v>91</v>
      </c>
      <c r="M9" s="9" t="s">
        <v>92</v>
      </c>
      <c r="N9" s="7" t="s">
        <v>93</v>
      </c>
      <c r="O9" s="7" t="s">
        <v>94</v>
      </c>
      <c r="P9" s="10"/>
    </row>
    <row r="10" customFormat="false" ht="55.2" hidden="false" customHeight="false" outlineLevel="0" collapsed="false">
      <c r="A10" s="6" t="s">
        <v>95</v>
      </c>
      <c r="B10" s="7" t="s">
        <v>96</v>
      </c>
      <c r="C10" s="7" t="s">
        <v>35</v>
      </c>
      <c r="D10" s="7" t="s">
        <v>74</v>
      </c>
      <c r="E10" s="7" t="s">
        <v>97</v>
      </c>
      <c r="F10" s="7" t="s">
        <v>60</v>
      </c>
      <c r="G10" s="8" t="n">
        <v>11</v>
      </c>
      <c r="H10" s="8" t="n">
        <v>1</v>
      </c>
      <c r="I10" s="8" t="n">
        <v>0</v>
      </c>
      <c r="J10" s="8" t="n">
        <v>1</v>
      </c>
      <c r="K10" s="8" t="n">
        <v>1</v>
      </c>
      <c r="L10" s="9" t="s">
        <v>98</v>
      </c>
      <c r="M10" s="9" t="s">
        <v>99</v>
      </c>
      <c r="N10" s="7" t="s">
        <v>100</v>
      </c>
      <c r="O10" s="7" t="s">
        <v>101</v>
      </c>
      <c r="P10" s="10"/>
    </row>
    <row r="11" customFormat="false" ht="15" hidden="false" customHeight="false" outlineLevel="0" collapsed="false">
      <c r="A11" s="6" t="s">
        <v>102</v>
      </c>
      <c r="B11" s="7" t="s">
        <v>103</v>
      </c>
      <c r="C11" s="7" t="s">
        <v>35</v>
      </c>
      <c r="D11" s="7" t="s">
        <v>104</v>
      </c>
      <c r="E11" s="7" t="s">
        <v>67</v>
      </c>
      <c r="F11" s="7" t="s">
        <v>52</v>
      </c>
      <c r="G11" s="8"/>
      <c r="H11" s="8" t="n">
        <v>1</v>
      </c>
      <c r="I11" s="8" t="n">
        <v>1</v>
      </c>
      <c r="J11" s="8" t="n">
        <v>3</v>
      </c>
      <c r="K11" s="8" t="n">
        <v>3</v>
      </c>
      <c r="L11" s="9" t="s">
        <v>105</v>
      </c>
      <c r="M11" s="9" t="s">
        <v>106</v>
      </c>
      <c r="N11" s="7" t="s">
        <v>107</v>
      </c>
      <c r="O11" s="7" t="s">
        <v>108</v>
      </c>
      <c r="P11" s="10"/>
    </row>
    <row r="12" customFormat="false" ht="28.35" hidden="false" customHeight="false" outlineLevel="0" collapsed="false">
      <c r="A12" s="6" t="s">
        <v>109</v>
      </c>
      <c r="B12" s="7" t="s">
        <v>110</v>
      </c>
      <c r="C12" s="7" t="s">
        <v>35</v>
      </c>
      <c r="D12" s="7" t="s">
        <v>104</v>
      </c>
      <c r="E12" s="7" t="s">
        <v>111</v>
      </c>
      <c r="F12" s="7" t="s">
        <v>38</v>
      </c>
      <c r="G12" s="8" t="n">
        <v>6</v>
      </c>
      <c r="H12" s="8" t="n">
        <v>1</v>
      </c>
      <c r="I12" s="8" t="n">
        <v>0</v>
      </c>
      <c r="J12" s="8" t="n">
        <v>2</v>
      </c>
      <c r="K12" s="8" t="n">
        <v>2</v>
      </c>
      <c r="L12" s="9" t="s">
        <v>112</v>
      </c>
      <c r="M12" s="9" t="s">
        <v>113</v>
      </c>
      <c r="N12" s="7" t="s">
        <v>114</v>
      </c>
      <c r="O12" s="7" t="s">
        <v>115</v>
      </c>
      <c r="P12" s="10"/>
    </row>
    <row r="13" customFormat="false" ht="15" hidden="false" customHeight="false" outlineLevel="0" collapsed="false">
      <c r="A13" s="6" t="s">
        <v>116</v>
      </c>
      <c r="B13" s="7" t="s">
        <v>117</v>
      </c>
      <c r="C13" s="7" t="s">
        <v>35</v>
      </c>
      <c r="D13" s="7" t="s">
        <v>118</v>
      </c>
      <c r="E13" s="7" t="s">
        <v>119</v>
      </c>
      <c r="F13" s="7" t="s">
        <v>52</v>
      </c>
      <c r="G13" s="8"/>
      <c r="H13" s="8" t="n">
        <v>1</v>
      </c>
      <c r="I13" s="8" t="n">
        <v>0</v>
      </c>
      <c r="J13" s="8" t="n">
        <v>3</v>
      </c>
      <c r="K13" s="8" t="n">
        <v>3</v>
      </c>
      <c r="L13" s="9" t="s">
        <v>120</v>
      </c>
      <c r="M13" s="9" t="s">
        <v>121</v>
      </c>
      <c r="N13" s="7" t="s">
        <v>122</v>
      </c>
      <c r="O13" s="7" t="s">
        <v>123</v>
      </c>
      <c r="P13" s="10"/>
    </row>
    <row r="14" customFormat="false" ht="28.35" hidden="false" customHeight="false" outlineLevel="0" collapsed="false">
      <c r="A14" s="6" t="s">
        <v>124</v>
      </c>
      <c r="B14" s="7" t="s">
        <v>125</v>
      </c>
      <c r="C14" s="7" t="s">
        <v>35</v>
      </c>
      <c r="D14" s="7" t="s">
        <v>118</v>
      </c>
      <c r="E14" s="7" t="s">
        <v>126</v>
      </c>
      <c r="F14" s="7" t="s">
        <v>60</v>
      </c>
      <c r="G14" s="8" t="n">
        <v>8</v>
      </c>
      <c r="H14" s="8" t="n">
        <v>1</v>
      </c>
      <c r="I14" s="8" t="n">
        <v>0</v>
      </c>
      <c r="J14" s="8" t="n">
        <v>3</v>
      </c>
      <c r="K14" s="8" t="n">
        <v>3</v>
      </c>
      <c r="L14" s="9" t="s">
        <v>127</v>
      </c>
      <c r="M14" s="9" t="s">
        <v>128</v>
      </c>
      <c r="N14" s="7" t="s">
        <v>129</v>
      </c>
      <c r="O14" s="7" t="s">
        <v>130</v>
      </c>
      <c r="P14" s="10"/>
    </row>
    <row r="15" customFormat="false" ht="15" hidden="false" customHeight="false" outlineLevel="0" collapsed="false">
      <c r="A15" s="6" t="s">
        <v>131</v>
      </c>
      <c r="B15" s="7" t="s">
        <v>132</v>
      </c>
      <c r="C15" s="7" t="s">
        <v>35</v>
      </c>
      <c r="D15" s="7" t="s">
        <v>104</v>
      </c>
      <c r="E15" s="7" t="s">
        <v>67</v>
      </c>
      <c r="F15" s="7" t="s">
        <v>52</v>
      </c>
      <c r="G15" s="8"/>
      <c r="H15" s="8" t="n">
        <v>2</v>
      </c>
      <c r="I15" s="8" t="n">
        <v>0</v>
      </c>
      <c r="J15" s="8" t="n">
        <v>3</v>
      </c>
      <c r="K15" s="8" t="n">
        <v>3</v>
      </c>
      <c r="L15" s="9" t="s">
        <v>133</v>
      </c>
      <c r="M15" s="9" t="s">
        <v>134</v>
      </c>
      <c r="N15" s="7" t="s">
        <v>135</v>
      </c>
      <c r="O15" s="7" t="s">
        <v>136</v>
      </c>
      <c r="P15" s="10"/>
    </row>
    <row r="16" customFormat="false" ht="41.75" hidden="false" customHeight="false" outlineLevel="0" collapsed="false">
      <c r="A16" s="6" t="s">
        <v>137</v>
      </c>
      <c r="B16" s="7" t="s">
        <v>138</v>
      </c>
      <c r="C16" s="7" t="s">
        <v>35</v>
      </c>
      <c r="D16" s="7" t="s">
        <v>104</v>
      </c>
      <c r="E16" s="7" t="s">
        <v>139</v>
      </c>
      <c r="F16" s="7" t="s">
        <v>52</v>
      </c>
      <c r="G16" s="8"/>
      <c r="H16" s="8" t="n">
        <v>2</v>
      </c>
      <c r="I16" s="8" t="n">
        <v>0</v>
      </c>
      <c r="J16" s="8" t="n">
        <v>2</v>
      </c>
      <c r="K16" s="8" t="n">
        <v>2</v>
      </c>
      <c r="L16" s="9" t="s">
        <v>140</v>
      </c>
      <c r="M16" s="9" t="s">
        <v>141</v>
      </c>
      <c r="N16" s="7" t="s">
        <v>142</v>
      </c>
      <c r="O16" s="7" t="s">
        <v>143</v>
      </c>
      <c r="P16" s="10"/>
    </row>
    <row r="17" customFormat="false" ht="41.75" hidden="false" customHeight="false" outlineLevel="0" collapsed="false">
      <c r="A17" s="6" t="s">
        <v>144</v>
      </c>
      <c r="B17" s="7" t="s">
        <v>145</v>
      </c>
      <c r="C17" s="7" t="s">
        <v>35</v>
      </c>
      <c r="D17" s="7" t="s">
        <v>118</v>
      </c>
      <c r="E17" s="7" t="s">
        <v>90</v>
      </c>
      <c r="F17" s="7" t="s">
        <v>60</v>
      </c>
      <c r="G17" s="8" t="n">
        <v>14</v>
      </c>
      <c r="H17" s="8" t="n">
        <v>3</v>
      </c>
      <c r="I17" s="8" t="n">
        <v>0</v>
      </c>
      <c r="J17" s="8" t="n">
        <v>1</v>
      </c>
      <c r="K17" s="8" t="n">
        <v>1</v>
      </c>
      <c r="L17" s="9" t="s">
        <v>146</v>
      </c>
      <c r="M17" s="9" t="s">
        <v>147</v>
      </c>
      <c r="N17" s="7" t="s">
        <v>148</v>
      </c>
      <c r="O17" s="7" t="s">
        <v>149</v>
      </c>
      <c r="P17" s="10"/>
    </row>
    <row r="18" customFormat="false" ht="28.35" hidden="false" customHeight="false" outlineLevel="0" collapsed="false">
      <c r="A18" s="6" t="s">
        <v>150</v>
      </c>
      <c r="B18" s="7" t="s">
        <v>151</v>
      </c>
      <c r="C18" s="7" t="s">
        <v>35</v>
      </c>
      <c r="D18" s="7" t="s">
        <v>118</v>
      </c>
      <c r="E18" s="7" t="s">
        <v>67</v>
      </c>
      <c r="F18" s="7" t="s">
        <v>52</v>
      </c>
      <c r="G18" s="8"/>
      <c r="H18" s="8" t="n">
        <v>3</v>
      </c>
      <c r="I18" s="8" t="n">
        <v>0</v>
      </c>
      <c r="J18" s="8" t="n">
        <v>1</v>
      </c>
      <c r="K18" s="8" t="n">
        <v>1</v>
      </c>
      <c r="L18" s="9" t="s">
        <v>152</v>
      </c>
      <c r="M18" s="9" t="s">
        <v>153</v>
      </c>
      <c r="N18" s="6" t="s">
        <v>154</v>
      </c>
      <c r="O18" s="6" t="s">
        <v>155</v>
      </c>
      <c r="P18" s="10"/>
    </row>
    <row r="19" customFormat="false" ht="28.35" hidden="false" customHeight="false" outlineLevel="0" collapsed="false">
      <c r="A19" s="6" t="s">
        <v>156</v>
      </c>
      <c r="B19" s="7" t="s">
        <v>157</v>
      </c>
      <c r="C19" s="7" t="s">
        <v>35</v>
      </c>
      <c r="D19" s="7" t="s">
        <v>74</v>
      </c>
      <c r="E19" s="7" t="s">
        <v>97</v>
      </c>
      <c r="F19" s="7" t="s">
        <v>60</v>
      </c>
      <c r="G19" s="8" t="n">
        <v>10</v>
      </c>
      <c r="H19" s="8" t="n">
        <v>4</v>
      </c>
      <c r="I19" s="8" t="n">
        <v>0</v>
      </c>
      <c r="J19" s="8" t="n">
        <v>2</v>
      </c>
      <c r="K19" s="8" t="n">
        <v>2</v>
      </c>
      <c r="L19" s="9" t="s">
        <v>158</v>
      </c>
      <c r="M19" s="9" t="s">
        <v>159</v>
      </c>
      <c r="N19" s="7" t="s">
        <v>160</v>
      </c>
      <c r="O19" s="7" t="s">
        <v>161</v>
      </c>
      <c r="P19" s="10"/>
    </row>
    <row r="20" customFormat="false" ht="41.75" hidden="false" customHeight="false" outlineLevel="0" collapsed="false">
      <c r="A20" s="6" t="s">
        <v>162</v>
      </c>
      <c r="B20" s="7" t="s">
        <v>163</v>
      </c>
      <c r="C20" s="7" t="s">
        <v>35</v>
      </c>
      <c r="D20" s="7" t="s">
        <v>104</v>
      </c>
      <c r="E20" s="7" t="s">
        <v>139</v>
      </c>
      <c r="F20" s="7" t="s">
        <v>52</v>
      </c>
      <c r="G20" s="8"/>
      <c r="H20" s="8" t="n">
        <v>4</v>
      </c>
      <c r="I20" s="8" t="n">
        <v>0</v>
      </c>
      <c r="J20" s="8" t="n">
        <v>1</v>
      </c>
      <c r="K20" s="8" t="n">
        <v>1</v>
      </c>
      <c r="L20" s="9" t="s">
        <v>164</v>
      </c>
      <c r="M20" s="9" t="s">
        <v>165</v>
      </c>
      <c r="N20" s="7" t="s">
        <v>166</v>
      </c>
      <c r="O20" s="7" t="s">
        <v>167</v>
      </c>
      <c r="P20" s="10"/>
    </row>
    <row r="21" customFormat="false" ht="15" hidden="false" customHeight="false" outlineLevel="0" collapsed="false">
      <c r="A21" s="6" t="s">
        <v>168</v>
      </c>
      <c r="B21" s="7" t="s">
        <v>169</v>
      </c>
      <c r="C21" s="7" t="s">
        <v>35</v>
      </c>
      <c r="D21" s="7" t="s">
        <v>36</v>
      </c>
      <c r="E21" s="7" t="s">
        <v>67</v>
      </c>
      <c r="F21" s="7" t="s">
        <v>52</v>
      </c>
      <c r="G21" s="8"/>
      <c r="H21" s="8" t="n">
        <v>5</v>
      </c>
      <c r="I21" s="8" t="n">
        <v>0</v>
      </c>
      <c r="J21" s="8" t="n">
        <v>2</v>
      </c>
      <c r="K21" s="8" t="n">
        <v>2</v>
      </c>
      <c r="L21" s="9" t="s">
        <v>170</v>
      </c>
      <c r="M21" s="9" t="s">
        <v>171</v>
      </c>
      <c r="N21" s="6" t="s">
        <v>172</v>
      </c>
      <c r="O21" s="6" t="s">
        <v>173</v>
      </c>
      <c r="P21" s="10"/>
    </row>
    <row r="22" customFormat="false" ht="28.35" hidden="false" customHeight="false" outlineLevel="0" collapsed="false">
      <c r="A22" s="6" t="s">
        <v>174</v>
      </c>
      <c r="B22" s="7" t="s">
        <v>175</v>
      </c>
      <c r="C22" s="7" t="s">
        <v>35</v>
      </c>
      <c r="D22" s="7" t="s">
        <v>118</v>
      </c>
      <c r="E22" s="7" t="s">
        <v>90</v>
      </c>
      <c r="F22" s="7" t="s">
        <v>60</v>
      </c>
      <c r="G22" s="8" t="n">
        <v>12</v>
      </c>
      <c r="H22" s="8" t="n">
        <v>5</v>
      </c>
      <c r="I22" s="8" t="n">
        <v>0</v>
      </c>
      <c r="J22" s="8" t="n">
        <v>2</v>
      </c>
      <c r="K22" s="8" t="n">
        <v>2</v>
      </c>
      <c r="L22" s="9" t="s">
        <v>176</v>
      </c>
      <c r="M22" s="9" t="s">
        <v>177</v>
      </c>
      <c r="N22" s="7" t="s">
        <v>178</v>
      </c>
      <c r="O22" s="7" t="s">
        <v>179</v>
      </c>
      <c r="P22" s="10"/>
    </row>
    <row r="23" customFormat="false" ht="41.75" hidden="false" customHeight="false" outlineLevel="0" collapsed="false">
      <c r="A23" s="6" t="s">
        <v>180</v>
      </c>
      <c r="B23" s="7" t="s">
        <v>181</v>
      </c>
      <c r="C23" s="7" t="s">
        <v>35</v>
      </c>
      <c r="D23" s="7" t="s">
        <v>36</v>
      </c>
      <c r="E23" s="7" t="s">
        <v>182</v>
      </c>
      <c r="F23" s="7" t="s">
        <v>52</v>
      </c>
      <c r="G23" s="8"/>
      <c r="H23" s="8" t="n">
        <v>6</v>
      </c>
      <c r="I23" s="8" t="n">
        <v>0</v>
      </c>
      <c r="J23" s="8" t="n">
        <v>2</v>
      </c>
      <c r="K23" s="8" t="n">
        <v>2</v>
      </c>
      <c r="L23" s="9" t="s">
        <v>183</v>
      </c>
      <c r="M23" s="9" t="s">
        <v>184</v>
      </c>
      <c r="N23" s="7" t="s">
        <v>185</v>
      </c>
      <c r="O23" s="7" t="s">
        <v>186</v>
      </c>
      <c r="P23" s="10"/>
    </row>
    <row r="24" customFormat="false" ht="28.35" hidden="false" customHeight="false" outlineLevel="0" collapsed="false">
      <c r="A24" s="6" t="s">
        <v>187</v>
      </c>
      <c r="B24" s="7" t="s">
        <v>188</v>
      </c>
      <c r="C24" s="7" t="s">
        <v>35</v>
      </c>
      <c r="D24" s="7" t="s">
        <v>36</v>
      </c>
      <c r="E24" s="7" t="s">
        <v>59</v>
      </c>
      <c r="F24" s="7" t="s">
        <v>38</v>
      </c>
      <c r="G24" s="8" t="n">
        <v>9</v>
      </c>
      <c r="H24" s="8" t="n">
        <v>6</v>
      </c>
      <c r="I24" s="8" t="n">
        <v>0</v>
      </c>
      <c r="J24" s="8" t="n">
        <v>2</v>
      </c>
      <c r="K24" s="8" t="n">
        <v>2</v>
      </c>
      <c r="L24" s="9" t="s">
        <v>189</v>
      </c>
      <c r="M24" s="9" t="s">
        <v>190</v>
      </c>
      <c r="N24" s="7" t="s">
        <v>191</v>
      </c>
      <c r="O24" s="7" t="s">
        <v>192</v>
      </c>
      <c r="P24" s="10"/>
    </row>
    <row r="25" customFormat="false" ht="41.75" hidden="false" customHeight="false" outlineLevel="0" collapsed="false">
      <c r="A25" s="6" t="s">
        <v>193</v>
      </c>
      <c r="B25" s="7" t="s">
        <v>194</v>
      </c>
      <c r="C25" s="7" t="s">
        <v>35</v>
      </c>
      <c r="D25" s="7" t="s">
        <v>36</v>
      </c>
      <c r="E25" s="7" t="s">
        <v>195</v>
      </c>
      <c r="F25" s="7" t="s">
        <v>60</v>
      </c>
      <c r="G25" s="8" t="n">
        <v>12</v>
      </c>
      <c r="H25" s="8" t="n">
        <v>7</v>
      </c>
      <c r="I25" s="8" t="n">
        <v>0</v>
      </c>
      <c r="J25" s="8" t="n">
        <v>3</v>
      </c>
      <c r="K25" s="8" t="n">
        <v>3</v>
      </c>
      <c r="L25" s="9" t="s">
        <v>196</v>
      </c>
      <c r="M25" s="9" t="s">
        <v>197</v>
      </c>
      <c r="N25" s="7" t="s">
        <v>198</v>
      </c>
      <c r="O25" s="7" t="s">
        <v>199</v>
      </c>
      <c r="P25" s="10"/>
    </row>
    <row r="26" customFormat="false" ht="41.75" hidden="false" customHeight="false" outlineLevel="0" collapsed="false">
      <c r="A26" s="6" t="s">
        <v>200</v>
      </c>
      <c r="B26" s="7" t="s">
        <v>201</v>
      </c>
      <c r="C26" s="7" t="s">
        <v>35</v>
      </c>
      <c r="D26" s="7" t="s">
        <v>74</v>
      </c>
      <c r="E26" s="7" t="s">
        <v>97</v>
      </c>
      <c r="F26" s="7" t="s">
        <v>60</v>
      </c>
      <c r="G26" s="8" t="n">
        <v>9</v>
      </c>
      <c r="H26" s="8" t="n">
        <v>7</v>
      </c>
      <c r="I26" s="8" t="n">
        <v>0</v>
      </c>
      <c r="J26" s="8" t="n">
        <v>2</v>
      </c>
      <c r="K26" s="8" t="n">
        <v>2</v>
      </c>
      <c r="L26" s="9" t="s">
        <v>202</v>
      </c>
      <c r="M26" s="9" t="s">
        <v>203</v>
      </c>
      <c r="N26" s="7" t="s">
        <v>204</v>
      </c>
      <c r="O26" s="7" t="s">
        <v>205</v>
      </c>
      <c r="P26" s="10"/>
    </row>
    <row r="27" customFormat="false" ht="15" hidden="false" customHeight="false" outlineLevel="0" collapsed="false">
      <c r="A27" s="6" t="s">
        <v>206</v>
      </c>
      <c r="B27" s="7" t="s">
        <v>207</v>
      </c>
      <c r="C27" s="7" t="s">
        <v>35</v>
      </c>
      <c r="D27" s="7" t="s">
        <v>104</v>
      </c>
      <c r="E27" s="7" t="s">
        <v>67</v>
      </c>
      <c r="F27" s="7" t="s">
        <v>52</v>
      </c>
      <c r="G27" s="8"/>
      <c r="H27" s="8" t="n">
        <v>8</v>
      </c>
      <c r="I27" s="8" t="n">
        <v>0</v>
      </c>
      <c r="J27" s="8" t="n">
        <v>2</v>
      </c>
      <c r="K27" s="8" t="n">
        <v>2</v>
      </c>
      <c r="L27" s="9" t="s">
        <v>121</v>
      </c>
      <c r="M27" s="9" t="s">
        <v>208</v>
      </c>
      <c r="N27" s="6" t="s">
        <v>209</v>
      </c>
      <c r="O27" s="6" t="s">
        <v>210</v>
      </c>
      <c r="P27" s="10"/>
    </row>
    <row r="28" customFormat="false" ht="15" hidden="false" customHeight="false" outlineLevel="0" collapsed="false">
      <c r="A28" s="6" t="s">
        <v>211</v>
      </c>
      <c r="B28" s="7" t="s">
        <v>212</v>
      </c>
      <c r="C28" s="7" t="s">
        <v>35</v>
      </c>
      <c r="D28" s="7" t="s">
        <v>118</v>
      </c>
      <c r="E28" s="7" t="s">
        <v>67</v>
      </c>
      <c r="F28" s="7" t="s">
        <v>52</v>
      </c>
      <c r="G28" s="8"/>
      <c r="H28" s="8" t="n">
        <v>8</v>
      </c>
      <c r="I28" s="8" t="n">
        <v>0</v>
      </c>
      <c r="J28" s="8" t="n">
        <v>1</v>
      </c>
      <c r="K28" s="8" t="n">
        <v>1</v>
      </c>
      <c r="L28" s="9" t="s">
        <v>213</v>
      </c>
      <c r="M28" s="9" t="s">
        <v>214</v>
      </c>
      <c r="N28" s="7" t="s">
        <v>215</v>
      </c>
      <c r="O28" s="7" t="s">
        <v>216</v>
      </c>
      <c r="P28" s="10"/>
    </row>
    <row r="29" customFormat="false" ht="41.75" hidden="false" customHeight="false" outlineLevel="0" collapsed="false">
      <c r="A29" s="6" t="s">
        <v>217</v>
      </c>
      <c r="B29" s="7" t="s">
        <v>218</v>
      </c>
      <c r="C29" s="7" t="s">
        <v>35</v>
      </c>
      <c r="D29" s="7" t="s">
        <v>36</v>
      </c>
      <c r="E29" s="7" t="s">
        <v>59</v>
      </c>
      <c r="F29" s="7" t="s">
        <v>60</v>
      </c>
      <c r="G29" s="8" t="n">
        <v>10</v>
      </c>
      <c r="H29" s="8" t="n">
        <v>9</v>
      </c>
      <c r="I29" s="8" t="n">
        <v>0</v>
      </c>
      <c r="J29" s="8" t="n">
        <v>3</v>
      </c>
      <c r="K29" s="8" t="n">
        <v>3</v>
      </c>
      <c r="L29" s="9" t="s">
        <v>219</v>
      </c>
      <c r="M29" s="9" t="s">
        <v>220</v>
      </c>
      <c r="N29" s="7" t="s">
        <v>221</v>
      </c>
      <c r="O29" s="7" t="s">
        <v>222</v>
      </c>
      <c r="P29" s="10"/>
    </row>
    <row r="30" customFormat="false" ht="28.35" hidden="false" customHeight="false" outlineLevel="0" collapsed="false">
      <c r="A30" s="11" t="s">
        <v>223</v>
      </c>
      <c r="B30" s="12" t="s">
        <v>224</v>
      </c>
      <c r="C30" s="12" t="s">
        <v>225</v>
      </c>
      <c r="D30" s="12" t="s">
        <v>36</v>
      </c>
      <c r="E30" s="12" t="s">
        <v>90</v>
      </c>
      <c r="F30" s="12" t="s">
        <v>60</v>
      </c>
      <c r="G30" s="13" t="n">
        <v>12</v>
      </c>
      <c r="H30" s="13" t="n">
        <v>1</v>
      </c>
      <c r="I30" s="13" t="n">
        <v>1</v>
      </c>
      <c r="J30" s="13" t="n">
        <v>5</v>
      </c>
      <c r="K30" s="13" t="n">
        <v>4</v>
      </c>
      <c r="L30" s="14" t="s">
        <v>226</v>
      </c>
      <c r="M30" s="14" t="s">
        <v>227</v>
      </c>
      <c r="N30" s="12" t="s">
        <v>228</v>
      </c>
      <c r="O30" s="12" t="s">
        <v>229</v>
      </c>
      <c r="P30" s="10"/>
    </row>
    <row r="31" customFormat="false" ht="15" hidden="false" customHeight="false" outlineLevel="0" collapsed="false">
      <c r="A31" s="11" t="s">
        <v>230</v>
      </c>
      <c r="B31" s="12" t="s">
        <v>231</v>
      </c>
      <c r="C31" s="12" t="s">
        <v>225</v>
      </c>
      <c r="D31" s="12" t="s">
        <v>118</v>
      </c>
      <c r="E31" s="12" t="s">
        <v>119</v>
      </c>
      <c r="F31" s="12" t="s">
        <v>52</v>
      </c>
      <c r="G31" s="13"/>
      <c r="H31" s="13" t="n">
        <v>1</v>
      </c>
      <c r="I31" s="13" t="n">
        <v>0</v>
      </c>
      <c r="J31" s="13" t="n">
        <v>3</v>
      </c>
      <c r="K31" s="13" t="n">
        <v>2</v>
      </c>
      <c r="L31" s="14" t="s">
        <v>232</v>
      </c>
      <c r="M31" s="14" t="s">
        <v>233</v>
      </c>
      <c r="N31" s="12" t="s">
        <v>234</v>
      </c>
      <c r="O31" s="12" t="s">
        <v>235</v>
      </c>
      <c r="P31" s="10"/>
    </row>
    <row r="32" customFormat="false" ht="41.75" hidden="false" customHeight="false" outlineLevel="0" collapsed="false">
      <c r="A32" s="11" t="s">
        <v>236</v>
      </c>
      <c r="B32" s="12" t="s">
        <v>237</v>
      </c>
      <c r="C32" s="12" t="s">
        <v>225</v>
      </c>
      <c r="D32" s="12" t="s">
        <v>36</v>
      </c>
      <c r="E32" s="12" t="s">
        <v>83</v>
      </c>
      <c r="F32" s="12" t="s">
        <v>38</v>
      </c>
      <c r="G32" s="13" t="n">
        <v>16</v>
      </c>
      <c r="H32" s="13" t="n">
        <v>4</v>
      </c>
      <c r="I32" s="13" t="n">
        <v>0</v>
      </c>
      <c r="J32" s="13" t="n">
        <v>4</v>
      </c>
      <c r="K32" s="13" t="n">
        <v>3</v>
      </c>
      <c r="L32" s="14" t="s">
        <v>238</v>
      </c>
      <c r="M32" s="14" t="s">
        <v>239</v>
      </c>
      <c r="N32" s="12" t="s">
        <v>240</v>
      </c>
      <c r="O32" s="12" t="s">
        <v>241</v>
      </c>
      <c r="P32" s="10"/>
    </row>
    <row r="33" customFormat="false" ht="28.35" hidden="false" customHeight="false" outlineLevel="0" collapsed="false">
      <c r="A33" s="11" t="s">
        <v>242</v>
      </c>
      <c r="B33" s="12" t="s">
        <v>243</v>
      </c>
      <c r="C33" s="12" t="s">
        <v>225</v>
      </c>
      <c r="D33" s="12" t="s">
        <v>118</v>
      </c>
      <c r="E33" s="12" t="s">
        <v>244</v>
      </c>
      <c r="F33" s="12" t="s">
        <v>52</v>
      </c>
      <c r="G33" s="13"/>
      <c r="H33" s="13" t="n">
        <v>6</v>
      </c>
      <c r="I33" s="13" t="n">
        <v>0</v>
      </c>
      <c r="J33" s="13" t="n">
        <v>3</v>
      </c>
      <c r="K33" s="13" t="n">
        <v>2</v>
      </c>
      <c r="L33" s="14" t="s">
        <v>245</v>
      </c>
      <c r="M33" s="14" t="s">
        <v>245</v>
      </c>
      <c r="N33" s="12" t="s">
        <v>246</v>
      </c>
      <c r="O33" s="12" t="s">
        <v>87</v>
      </c>
      <c r="P33" s="10"/>
    </row>
    <row r="34" customFormat="false" ht="41.75" hidden="false" customHeight="false" outlineLevel="0" collapsed="false">
      <c r="A34" s="11" t="s">
        <v>247</v>
      </c>
      <c r="B34" s="12" t="s">
        <v>248</v>
      </c>
      <c r="C34" s="12" t="s">
        <v>225</v>
      </c>
      <c r="D34" s="12" t="s">
        <v>36</v>
      </c>
      <c r="E34" s="12" t="s">
        <v>97</v>
      </c>
      <c r="F34" s="12" t="s">
        <v>60</v>
      </c>
      <c r="G34" s="13" t="n">
        <v>12</v>
      </c>
      <c r="H34" s="13" t="n">
        <v>7</v>
      </c>
      <c r="I34" s="13" t="n">
        <v>0</v>
      </c>
      <c r="J34" s="13" t="n">
        <v>5</v>
      </c>
      <c r="K34" s="13" t="n">
        <v>4</v>
      </c>
      <c r="L34" s="14" t="s">
        <v>249</v>
      </c>
      <c r="M34" s="14" t="s">
        <v>250</v>
      </c>
      <c r="N34" s="12" t="s">
        <v>251</v>
      </c>
      <c r="O34" s="12" t="s">
        <v>252</v>
      </c>
      <c r="P34" s="10"/>
    </row>
    <row r="35" customFormat="false" ht="41.75" hidden="false" customHeight="false" outlineLevel="0" collapsed="false">
      <c r="A35" s="11" t="s">
        <v>253</v>
      </c>
      <c r="B35" s="12" t="s">
        <v>254</v>
      </c>
      <c r="C35" s="12" t="s">
        <v>225</v>
      </c>
      <c r="D35" s="12" t="s">
        <v>36</v>
      </c>
      <c r="E35" s="12" t="s">
        <v>37</v>
      </c>
      <c r="F35" s="12" t="s">
        <v>52</v>
      </c>
      <c r="G35" s="13"/>
      <c r="H35" s="13" t="n">
        <v>8</v>
      </c>
      <c r="I35" s="13" t="n">
        <v>0</v>
      </c>
      <c r="J35" s="13" t="n">
        <v>4</v>
      </c>
      <c r="K35" s="13" t="n">
        <v>3</v>
      </c>
      <c r="L35" s="14" t="s">
        <v>255</v>
      </c>
      <c r="M35" s="14" t="s">
        <v>256</v>
      </c>
      <c r="N35" s="11" t="s">
        <v>257</v>
      </c>
      <c r="O35" s="11" t="s">
        <v>258</v>
      </c>
      <c r="P35" s="10"/>
    </row>
    <row r="36" customFormat="false" ht="28.35" hidden="false" customHeight="false" outlineLevel="0" collapsed="false">
      <c r="A36" s="11" t="s">
        <v>259</v>
      </c>
      <c r="B36" s="12" t="s">
        <v>260</v>
      </c>
      <c r="C36" s="12" t="s">
        <v>225</v>
      </c>
      <c r="D36" s="12" t="s">
        <v>36</v>
      </c>
      <c r="E36" s="12" t="s">
        <v>261</v>
      </c>
      <c r="F36" s="12" t="s">
        <v>38</v>
      </c>
      <c r="G36" s="13" t="n">
        <v>22</v>
      </c>
      <c r="H36" s="13" t="n">
        <v>9</v>
      </c>
      <c r="I36" s="13" t="n">
        <v>0</v>
      </c>
      <c r="J36" s="13" t="n">
        <v>4</v>
      </c>
      <c r="K36" s="13" t="n">
        <v>3</v>
      </c>
      <c r="L36" s="14" t="s">
        <v>262</v>
      </c>
      <c r="M36" s="14" t="s">
        <v>263</v>
      </c>
      <c r="N36" s="12" t="s">
        <v>264</v>
      </c>
      <c r="O36" s="12" t="s">
        <v>265</v>
      </c>
      <c r="P36" s="10"/>
    </row>
    <row r="37" customFormat="false" ht="28.35" hidden="false" customHeight="false" outlineLevel="0" collapsed="false">
      <c r="A37" s="11" t="s">
        <v>266</v>
      </c>
      <c r="B37" s="12" t="s">
        <v>267</v>
      </c>
      <c r="C37" s="12" t="s">
        <v>225</v>
      </c>
      <c r="D37" s="12" t="s">
        <v>118</v>
      </c>
      <c r="E37" s="12" t="s">
        <v>119</v>
      </c>
      <c r="F37" s="12" t="s">
        <v>52</v>
      </c>
      <c r="G37" s="13"/>
      <c r="H37" s="13" t="n">
        <v>10</v>
      </c>
      <c r="I37" s="13" t="n">
        <v>0</v>
      </c>
      <c r="J37" s="13" t="n">
        <v>4</v>
      </c>
      <c r="K37" s="13" t="n">
        <v>3</v>
      </c>
      <c r="L37" s="14" t="s">
        <v>121</v>
      </c>
      <c r="M37" s="14" t="s">
        <v>268</v>
      </c>
      <c r="N37" s="12" t="s">
        <v>269</v>
      </c>
      <c r="O37" s="12" t="s">
        <v>270</v>
      </c>
      <c r="P37" s="10"/>
    </row>
    <row r="38" customFormat="false" ht="41.75" hidden="false" customHeight="false" outlineLevel="0" collapsed="false">
      <c r="A38" s="11" t="s">
        <v>271</v>
      </c>
      <c r="B38" s="12" t="s">
        <v>272</v>
      </c>
      <c r="C38" s="12" t="s">
        <v>225</v>
      </c>
      <c r="D38" s="12" t="s">
        <v>36</v>
      </c>
      <c r="E38" s="12" t="s">
        <v>119</v>
      </c>
      <c r="F38" s="12" t="s">
        <v>52</v>
      </c>
      <c r="G38" s="13"/>
      <c r="H38" s="13" t="n">
        <v>10</v>
      </c>
      <c r="I38" s="13" t="n">
        <v>0</v>
      </c>
      <c r="J38" s="13" t="n">
        <v>4</v>
      </c>
      <c r="K38" s="13" t="n">
        <v>3</v>
      </c>
      <c r="L38" s="14" t="s">
        <v>273</v>
      </c>
      <c r="M38" s="14" t="s">
        <v>273</v>
      </c>
      <c r="N38" s="12" t="s">
        <v>274</v>
      </c>
      <c r="O38" s="12" t="s">
        <v>87</v>
      </c>
      <c r="P38" s="10"/>
    </row>
  </sheetData>
  <autoFilter ref="A1:P3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9"/>
    <col collapsed="false" customWidth="true" hidden="false" outlineLevel="0" max="4" min="4" style="0" width="7"/>
    <col collapsed="false" customWidth="true" hidden="false" outlineLevel="0" max="9" min="5" style="0" width="9"/>
    <col collapsed="false" customWidth="true" hidden="false" outlineLevel="0" max="10" min="10" style="0" width="11"/>
    <col collapsed="false" customWidth="true" hidden="false" outlineLevel="0" max="11" min="11" style="0" width="9"/>
    <col collapsed="false" customWidth="true" hidden="false" outlineLevel="0" max="12" min="12" style="0" width="11"/>
    <col collapsed="false" customWidth="true" hidden="false" outlineLevel="0" max="13" min="13" style="0" width="9"/>
    <col collapsed="false" customWidth="true" hidden="false" outlineLevel="0" max="14" min="14" style="0" width="60"/>
    <col collapsed="false" customWidth="true" hidden="false" outlineLevel="0" max="15" min="15" style="0" width="40"/>
    <col collapsed="false" customWidth="true" hidden="false" outlineLevel="0" max="16" min="16" style="0" width="36"/>
  </cols>
  <sheetData>
    <row r="1" customFormat="false" ht="15" hidden="false" customHeight="false" outlineLevel="0" collapsed="false">
      <c r="A1" s="2" t="s">
        <v>275</v>
      </c>
      <c r="B1" s="15" t="n">
        <v>2.5</v>
      </c>
      <c r="C1" s="2" t="s">
        <v>276</v>
      </c>
      <c r="D1" s="15" t="n">
        <v>2</v>
      </c>
    </row>
    <row r="3" customFormat="false" ht="15" hidden="false" customHeight="false" outlineLevel="0" collapsed="false">
      <c r="A3" s="4" t="s">
        <v>17</v>
      </c>
      <c r="B3" s="5" t="s">
        <v>18</v>
      </c>
      <c r="C3" s="5" t="s">
        <v>20</v>
      </c>
      <c r="D3" s="5" t="s">
        <v>277</v>
      </c>
      <c r="E3" s="5" t="s">
        <v>278</v>
      </c>
      <c r="F3" s="5" t="s">
        <v>279</v>
      </c>
      <c r="G3" s="5" t="s">
        <v>280</v>
      </c>
      <c r="H3" s="5" t="s">
        <v>281</v>
      </c>
      <c r="I3" s="5" t="s">
        <v>282</v>
      </c>
      <c r="J3" s="5" t="s">
        <v>283</v>
      </c>
      <c r="K3" s="5" t="s">
        <v>284</v>
      </c>
      <c r="L3" s="5" t="s">
        <v>285</v>
      </c>
      <c r="M3" s="5" t="s">
        <v>286</v>
      </c>
      <c r="N3" s="5" t="s">
        <v>287</v>
      </c>
      <c r="O3" s="5" t="s">
        <v>288</v>
      </c>
      <c r="P3" s="5" t="s">
        <v>32</v>
      </c>
    </row>
    <row r="4" customFormat="false" ht="95.5" hidden="false" customHeight="false" outlineLevel="0" collapsed="false">
      <c r="A4" s="6" t="s">
        <v>289</v>
      </c>
      <c r="B4" s="7" t="s">
        <v>290</v>
      </c>
      <c r="C4" s="7" t="s">
        <v>291</v>
      </c>
      <c r="D4" s="8" t="n">
        <v>38</v>
      </c>
      <c r="E4" s="7" t="n">
        <f aca="false">ROUND(D4*$B$1,0)</f>
        <v>95</v>
      </c>
      <c r="F4" s="8" t="n">
        <v>2.6</v>
      </c>
      <c r="G4" s="8" t="n">
        <v>1</v>
      </c>
      <c r="H4" s="8" t="n">
        <v>1</v>
      </c>
      <c r="I4" s="8" t="n">
        <v>10</v>
      </c>
      <c r="J4" s="8" t="s">
        <v>292</v>
      </c>
      <c r="K4" s="8" t="n">
        <v>1</v>
      </c>
      <c r="L4" s="7" t="n">
        <f aca="false">K4*$D$1</f>
        <v>2</v>
      </c>
      <c r="M4" s="8" t="n">
        <v>1</v>
      </c>
      <c r="N4" s="7" t="s">
        <v>293</v>
      </c>
      <c r="O4" s="6" t="s">
        <v>294</v>
      </c>
      <c r="P4" s="10"/>
    </row>
    <row r="5" customFormat="false" ht="135.8" hidden="false" customHeight="false" outlineLevel="0" collapsed="false">
      <c r="A5" s="6" t="s">
        <v>295</v>
      </c>
      <c r="B5" s="7" t="s">
        <v>296</v>
      </c>
      <c r="C5" s="7" t="s">
        <v>291</v>
      </c>
      <c r="D5" s="8" t="n">
        <v>52</v>
      </c>
      <c r="E5" s="7" t="n">
        <f aca="false">ROUND(D5*$B$1,0)</f>
        <v>130</v>
      </c>
      <c r="F5" s="8" t="n">
        <v>3.2</v>
      </c>
      <c r="G5" s="8" t="n">
        <v>1</v>
      </c>
      <c r="H5" s="8" t="n">
        <v>1</v>
      </c>
      <c r="I5" s="8" t="n">
        <v>6.5</v>
      </c>
      <c r="J5" s="8"/>
      <c r="K5" s="8" t="n">
        <v>1.5</v>
      </c>
      <c r="L5" s="7" t="n">
        <f aca="false">K5*$D$1</f>
        <v>3</v>
      </c>
      <c r="M5" s="8" t="n">
        <v>2</v>
      </c>
      <c r="N5" s="7" t="s">
        <v>297</v>
      </c>
      <c r="O5" s="6" t="s">
        <v>298</v>
      </c>
      <c r="P5" s="10"/>
    </row>
    <row r="6" customFormat="false" ht="122.35" hidden="false" customHeight="false" outlineLevel="0" collapsed="false">
      <c r="A6" s="6" t="s">
        <v>299</v>
      </c>
      <c r="B6" s="7" t="s">
        <v>300</v>
      </c>
      <c r="C6" s="7" t="s">
        <v>291</v>
      </c>
      <c r="D6" s="8" t="n">
        <v>46</v>
      </c>
      <c r="E6" s="7" t="n">
        <f aca="false">ROUND(D6*$B$1,0)</f>
        <v>115</v>
      </c>
      <c r="F6" s="8" t="n">
        <v>2.2</v>
      </c>
      <c r="G6" s="8" t="n">
        <v>1</v>
      </c>
      <c r="H6" s="8" t="n">
        <v>1</v>
      </c>
      <c r="I6" s="8" t="n">
        <v>8.5</v>
      </c>
      <c r="J6" s="8" t="s">
        <v>301</v>
      </c>
      <c r="K6" s="8" t="n">
        <v>1.5</v>
      </c>
      <c r="L6" s="7" t="n">
        <f aca="false">K6*$D$1</f>
        <v>3</v>
      </c>
      <c r="M6" s="8" t="n">
        <v>2</v>
      </c>
      <c r="N6" s="7" t="s">
        <v>302</v>
      </c>
      <c r="O6" s="6" t="s">
        <v>303</v>
      </c>
      <c r="P6" s="10"/>
    </row>
    <row r="7" customFormat="false" ht="243.25" hidden="false" customHeight="false" outlineLevel="0" collapsed="false">
      <c r="A7" s="6" t="s">
        <v>304</v>
      </c>
      <c r="B7" s="7" t="s">
        <v>305</v>
      </c>
      <c r="C7" s="7" t="s">
        <v>306</v>
      </c>
      <c r="D7" s="8" t="n">
        <v>44</v>
      </c>
      <c r="E7" s="7" t="n">
        <f aca="false">ROUND(D7*$B$1,0)</f>
        <v>110</v>
      </c>
      <c r="F7" s="8" t="n">
        <v>2.6</v>
      </c>
      <c r="G7" s="8" t="n">
        <v>0</v>
      </c>
      <c r="H7" s="8"/>
      <c r="I7" s="8"/>
      <c r="J7" s="8"/>
      <c r="K7" s="8" t="n">
        <v>1.5</v>
      </c>
      <c r="L7" s="7" t="n">
        <f aca="false">K7*$D$1</f>
        <v>3</v>
      </c>
      <c r="M7" s="8" t="n">
        <v>2</v>
      </c>
      <c r="N7" s="7" t="s">
        <v>307</v>
      </c>
      <c r="O7" s="6" t="s">
        <v>308</v>
      </c>
      <c r="P7" s="10"/>
    </row>
    <row r="8" customFormat="false" ht="122.35" hidden="false" customHeight="false" outlineLevel="0" collapsed="false">
      <c r="A8" s="6" t="s">
        <v>309</v>
      </c>
      <c r="B8" s="7" t="s">
        <v>310</v>
      </c>
      <c r="C8" s="7" t="s">
        <v>306</v>
      </c>
      <c r="D8" s="8" t="n">
        <v>26</v>
      </c>
      <c r="E8" s="7" t="n">
        <f aca="false">ROUND(D8*$B$1,0)</f>
        <v>65</v>
      </c>
      <c r="F8" s="8" t="n">
        <v>6.5</v>
      </c>
      <c r="G8" s="8" t="n">
        <v>1</v>
      </c>
      <c r="H8" s="8"/>
      <c r="I8" s="8"/>
      <c r="J8" s="8"/>
      <c r="K8" s="8" t="n">
        <v>1</v>
      </c>
      <c r="L8" s="7" t="n">
        <f aca="false">K8*$D$1</f>
        <v>2</v>
      </c>
      <c r="M8" s="8" t="n">
        <v>1</v>
      </c>
      <c r="N8" s="7" t="s">
        <v>311</v>
      </c>
      <c r="O8" s="6" t="s">
        <v>312</v>
      </c>
      <c r="P8" s="10"/>
    </row>
    <row r="9" customFormat="false" ht="95.5" hidden="false" customHeight="false" outlineLevel="0" collapsed="false">
      <c r="A9" s="6" t="s">
        <v>313</v>
      </c>
      <c r="B9" s="7" t="s">
        <v>314</v>
      </c>
      <c r="C9" s="7" t="s">
        <v>291</v>
      </c>
      <c r="D9" s="8" t="n">
        <v>58</v>
      </c>
      <c r="E9" s="7" t="n">
        <f aca="false">ROUND(D9*$B$1,0)</f>
        <v>145</v>
      </c>
      <c r="F9" s="8" t="n">
        <v>2.2</v>
      </c>
      <c r="G9" s="8" t="n">
        <v>1</v>
      </c>
      <c r="H9" s="8" t="n">
        <v>1</v>
      </c>
      <c r="I9" s="8" t="n">
        <v>6</v>
      </c>
      <c r="J9" s="8" t="s">
        <v>315</v>
      </c>
      <c r="K9" s="8" t="n">
        <v>1.5</v>
      </c>
      <c r="L9" s="7" t="n">
        <f aca="false">K9*$D$1</f>
        <v>3</v>
      </c>
      <c r="M9" s="8" t="n">
        <v>2</v>
      </c>
      <c r="N9" s="7" t="s">
        <v>316</v>
      </c>
      <c r="O9" s="6" t="s">
        <v>317</v>
      </c>
      <c r="P9" s="10"/>
    </row>
    <row r="10" customFormat="false" ht="122.35" hidden="false" customHeight="false" outlineLevel="0" collapsed="false">
      <c r="A10" s="6" t="s">
        <v>318</v>
      </c>
      <c r="B10" s="7" t="s">
        <v>319</v>
      </c>
      <c r="C10" s="7" t="s">
        <v>291</v>
      </c>
      <c r="D10" s="8" t="n">
        <v>90</v>
      </c>
      <c r="E10" s="7" t="n">
        <f aca="false">ROUND(D10*$B$1,0)</f>
        <v>225</v>
      </c>
      <c r="F10" s="8" t="n">
        <v>2.4</v>
      </c>
      <c r="G10" s="8" t="n">
        <v>1</v>
      </c>
      <c r="H10" s="8"/>
      <c r="I10" s="8"/>
      <c r="J10" s="8"/>
      <c r="K10" s="8" t="n">
        <v>2</v>
      </c>
      <c r="L10" s="7" t="n">
        <f aca="false">K10*$D$1</f>
        <v>4</v>
      </c>
      <c r="M10" s="8" t="n">
        <v>2</v>
      </c>
      <c r="N10" s="7" t="s">
        <v>320</v>
      </c>
      <c r="O10" s="6" t="s">
        <v>321</v>
      </c>
      <c r="P10" s="10"/>
    </row>
    <row r="11" customFormat="false" ht="68.65" hidden="false" customHeight="false" outlineLevel="0" collapsed="false">
      <c r="A11" s="6" t="s">
        <v>322</v>
      </c>
      <c r="B11" s="7" t="s">
        <v>296</v>
      </c>
      <c r="C11" s="7" t="s">
        <v>323</v>
      </c>
      <c r="D11" s="8" t="n">
        <v>14</v>
      </c>
      <c r="E11" s="7" t="n">
        <f aca="false">ROUND(D11*$B$1,0)</f>
        <v>35</v>
      </c>
      <c r="F11" s="8" t="n">
        <v>4.2</v>
      </c>
      <c r="G11" s="8" t="n">
        <v>1</v>
      </c>
      <c r="H11" s="8"/>
      <c r="I11" s="8"/>
      <c r="J11" s="8"/>
      <c r="K11" s="8" t="n">
        <v>0.5</v>
      </c>
      <c r="L11" s="7" t="n">
        <f aca="false">K11*$D$1</f>
        <v>1</v>
      </c>
      <c r="M11" s="8" t="n">
        <v>1</v>
      </c>
      <c r="N11" s="7"/>
      <c r="O11" s="6" t="s">
        <v>324</v>
      </c>
      <c r="P11" s="10"/>
    </row>
    <row r="12" customFormat="false" ht="176.1" hidden="false" customHeight="false" outlineLevel="0" collapsed="false">
      <c r="A12" s="11" t="s">
        <v>325</v>
      </c>
      <c r="B12" s="12" t="s">
        <v>326</v>
      </c>
      <c r="C12" s="12" t="s">
        <v>327</v>
      </c>
      <c r="D12" s="13" t="n">
        <v>900</v>
      </c>
      <c r="E12" s="12" t="s">
        <v>328</v>
      </c>
      <c r="F12" s="13" t="n">
        <v>0.8</v>
      </c>
      <c r="G12" s="13" t="n">
        <v>1</v>
      </c>
      <c r="H12" s="13" t="n">
        <v>1</v>
      </c>
      <c r="I12" s="13" t="n">
        <v>7</v>
      </c>
      <c r="J12" s="13"/>
      <c r="K12" s="13" t="n">
        <v>4</v>
      </c>
      <c r="L12" s="11" t="s">
        <v>329</v>
      </c>
      <c r="M12" s="13"/>
      <c r="N12" s="12" t="s">
        <v>330</v>
      </c>
      <c r="O12" s="11" t="s">
        <v>331</v>
      </c>
      <c r="P12" s="10"/>
    </row>
    <row r="13" customFormat="false" ht="82.05" hidden="false" customHeight="false" outlineLevel="0" collapsed="false">
      <c r="A13" s="11" t="s">
        <v>332</v>
      </c>
      <c r="B13" s="12" t="s">
        <v>333</v>
      </c>
      <c r="C13" s="12" t="s">
        <v>327</v>
      </c>
      <c r="D13" s="13" t="n">
        <v>1000</v>
      </c>
      <c r="E13" s="12" t="s">
        <v>328</v>
      </c>
      <c r="F13" s="13" t="n">
        <v>2.2</v>
      </c>
      <c r="G13" s="13" t="n">
        <v>1</v>
      </c>
      <c r="H13" s="13" t="n">
        <v>1</v>
      </c>
      <c r="I13" s="13" t="n">
        <v>8</v>
      </c>
      <c r="J13" s="13"/>
      <c r="K13" s="13" t="n">
        <v>4</v>
      </c>
      <c r="L13" s="11" t="s">
        <v>329</v>
      </c>
      <c r="M13" s="13"/>
      <c r="N13" s="12" t="s">
        <v>334</v>
      </c>
      <c r="O13" s="11" t="s">
        <v>335</v>
      </c>
      <c r="P13" s="10"/>
    </row>
    <row r="14" customFormat="false" ht="82.05" hidden="false" customHeight="false" outlineLevel="0" collapsed="false">
      <c r="A14" s="11" t="s">
        <v>336</v>
      </c>
      <c r="B14" s="12" t="s">
        <v>337</v>
      </c>
      <c r="C14" s="12" t="s">
        <v>327</v>
      </c>
      <c r="D14" s="13" t="n">
        <v>1300</v>
      </c>
      <c r="E14" s="12" t="s">
        <v>328</v>
      </c>
      <c r="F14" s="13" t="n">
        <v>0</v>
      </c>
      <c r="G14" s="13" t="n">
        <v>1</v>
      </c>
      <c r="H14" s="13" t="n">
        <v>1</v>
      </c>
      <c r="I14" s="13" t="n">
        <v>6.5</v>
      </c>
      <c r="J14" s="13"/>
      <c r="K14" s="13" t="n">
        <v>4</v>
      </c>
      <c r="L14" s="11" t="s">
        <v>329</v>
      </c>
      <c r="M14" s="13"/>
      <c r="N14" s="12" t="s">
        <v>338</v>
      </c>
      <c r="O14" s="11" t="s">
        <v>339</v>
      </c>
      <c r="P14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16"/>
    <col collapsed="false" customWidth="true" hidden="false" outlineLevel="0" max="5" min="5" style="0" width="9"/>
    <col collapsed="false" customWidth="true" hidden="false" outlineLevel="0" max="7" min="6" style="0" width="10"/>
    <col collapsed="false" customWidth="true" hidden="false" outlineLevel="0" max="8" min="8" style="0" width="7"/>
    <col collapsed="false" customWidth="true" hidden="false" outlineLevel="0" max="10" min="9" style="0" width="9"/>
    <col collapsed="false" customWidth="true" hidden="false" outlineLevel="0" max="11" min="11" style="0" width="10"/>
    <col collapsed="false" customWidth="true" hidden="false" outlineLevel="0" max="12" min="12" style="0" width="8"/>
    <col collapsed="false" customWidth="true" hidden="false" outlineLevel="0" max="13" min="13" style="0" width="10"/>
    <col collapsed="false" customWidth="true" hidden="false" outlineLevel="0" max="14" min="14" style="0" width="40"/>
    <col collapsed="false" customWidth="true" hidden="false" outlineLevel="0" max="15" min="15" style="0" width="36"/>
  </cols>
  <sheetData>
    <row r="1" customFormat="false" ht="31.5" hidden="false" customHeight="true" outlineLevel="0" collapsed="false">
      <c r="A1" s="4" t="s">
        <v>17</v>
      </c>
      <c r="B1" s="5" t="s">
        <v>18</v>
      </c>
      <c r="C1" s="5" t="s">
        <v>24</v>
      </c>
      <c r="D1" s="5" t="s">
        <v>340</v>
      </c>
      <c r="E1" s="5" t="s">
        <v>341</v>
      </c>
      <c r="F1" s="5" t="s">
        <v>342</v>
      </c>
      <c r="G1" s="5" t="s">
        <v>283</v>
      </c>
      <c r="H1" s="5" t="s">
        <v>343</v>
      </c>
      <c r="I1" s="5" t="s">
        <v>344</v>
      </c>
      <c r="J1" s="5" t="s">
        <v>282</v>
      </c>
      <c r="K1" s="5" t="s">
        <v>345</v>
      </c>
      <c r="L1" s="5" t="s">
        <v>346</v>
      </c>
      <c r="M1" s="5" t="s">
        <v>347</v>
      </c>
      <c r="N1" s="5" t="s">
        <v>348</v>
      </c>
      <c r="O1" s="5" t="s">
        <v>32</v>
      </c>
    </row>
    <row r="2" customFormat="false" ht="15" hidden="false" customHeight="false" outlineLevel="0" collapsed="false">
      <c r="A2" s="6" t="s">
        <v>349</v>
      </c>
      <c r="B2" s="7" t="s">
        <v>350</v>
      </c>
      <c r="C2" s="8" t="n">
        <v>1</v>
      </c>
      <c r="D2" s="7" t="s">
        <v>351</v>
      </c>
      <c r="E2" s="8" t="n">
        <v>10</v>
      </c>
      <c r="F2" s="8" t="n">
        <v>1</v>
      </c>
      <c r="G2" s="8" t="n">
        <v>0.12</v>
      </c>
      <c r="H2" s="8" t="n">
        <v>12</v>
      </c>
      <c r="I2" s="8" t="n">
        <v>1.1</v>
      </c>
      <c r="J2" s="8" t="n">
        <v>28</v>
      </c>
      <c r="K2" s="8" t="n">
        <v>0.8</v>
      </c>
      <c r="L2" s="8" t="n">
        <v>0.035</v>
      </c>
      <c r="M2" s="7" t="n">
        <f aca="false">ROUND(E2*F2/G2,1)</f>
        <v>83.3</v>
      </c>
      <c r="N2" s="7"/>
      <c r="O2" s="10"/>
    </row>
    <row r="3" customFormat="false" ht="15" hidden="false" customHeight="false" outlineLevel="0" collapsed="false">
      <c r="A3" s="6" t="s">
        <v>352</v>
      </c>
      <c r="B3" s="7" t="s">
        <v>353</v>
      </c>
      <c r="C3" s="8" t="n">
        <v>2</v>
      </c>
      <c r="D3" s="7" t="s">
        <v>354</v>
      </c>
      <c r="E3" s="8" t="n">
        <v>5</v>
      </c>
      <c r="F3" s="8" t="n">
        <v>1</v>
      </c>
      <c r="G3" s="8" t="n">
        <v>0.09</v>
      </c>
      <c r="H3" s="8" t="n">
        <v>26</v>
      </c>
      <c r="I3" s="8" t="n">
        <v>1.4</v>
      </c>
      <c r="J3" s="8" t="n">
        <v>34</v>
      </c>
      <c r="K3" s="8" t="n">
        <v>0.7</v>
      </c>
      <c r="L3" s="8" t="n">
        <v>0.06</v>
      </c>
      <c r="M3" s="7" t="n">
        <f aca="false">ROUND(E3*F3/G3,1)</f>
        <v>55.6</v>
      </c>
      <c r="N3" s="7"/>
      <c r="O3" s="10"/>
    </row>
    <row r="4" customFormat="false" ht="55.2" hidden="false" customHeight="false" outlineLevel="0" collapsed="false">
      <c r="A4" s="6" t="s">
        <v>355</v>
      </c>
      <c r="B4" s="7" t="s">
        <v>356</v>
      </c>
      <c r="C4" s="8" t="n">
        <v>3</v>
      </c>
      <c r="D4" s="7" t="s">
        <v>357</v>
      </c>
      <c r="E4" s="8" t="n">
        <v>15</v>
      </c>
      <c r="F4" s="8" t="n">
        <v>5</v>
      </c>
      <c r="G4" s="8" t="n">
        <v>0.62</v>
      </c>
      <c r="H4" s="8" t="n">
        <v>5</v>
      </c>
      <c r="I4" s="8" t="n">
        <v>1.2</v>
      </c>
      <c r="J4" s="8" t="n">
        <v>17</v>
      </c>
      <c r="K4" s="8" t="n">
        <v>0.5</v>
      </c>
      <c r="L4" s="8" t="n">
        <v>0</v>
      </c>
      <c r="M4" s="7" t="n">
        <f aca="false">ROUND(E4*F4/G4,1)</f>
        <v>121</v>
      </c>
      <c r="N4" s="7" t="s">
        <v>358</v>
      </c>
      <c r="O4" s="10"/>
    </row>
    <row r="5" customFormat="false" ht="28.35" hidden="false" customHeight="false" outlineLevel="0" collapsed="false">
      <c r="A5" s="6" t="s">
        <v>359</v>
      </c>
      <c r="B5" s="7" t="s">
        <v>360</v>
      </c>
      <c r="C5" s="8" t="n">
        <v>5</v>
      </c>
      <c r="D5" s="7" t="s">
        <v>361</v>
      </c>
      <c r="E5" s="8" t="n">
        <v>12</v>
      </c>
      <c r="F5" s="8" t="n">
        <v>3</v>
      </c>
      <c r="G5" s="8" t="n">
        <v>0.5</v>
      </c>
      <c r="H5" s="8" t="n">
        <v>18</v>
      </c>
      <c r="I5" s="8" t="n">
        <v>1.3</v>
      </c>
      <c r="J5" s="8" t="n">
        <v>30</v>
      </c>
      <c r="K5" s="8" t="n">
        <v>0.7</v>
      </c>
      <c r="L5" s="8" t="n">
        <v>0.025</v>
      </c>
      <c r="M5" s="7" t="n">
        <f aca="false">ROUND(E5*F5/G5,1)</f>
        <v>72</v>
      </c>
      <c r="N5" s="7" t="s">
        <v>362</v>
      </c>
      <c r="O5" s="10"/>
    </row>
    <row r="6" customFormat="false" ht="55.2" hidden="false" customHeight="false" outlineLevel="0" collapsed="false">
      <c r="A6" s="6" t="s">
        <v>363</v>
      </c>
      <c r="B6" s="7" t="s">
        <v>364</v>
      </c>
      <c r="C6" s="8" t="n">
        <v>7</v>
      </c>
      <c r="D6" s="7" t="s">
        <v>365</v>
      </c>
      <c r="E6" s="8" t="n">
        <v>5</v>
      </c>
      <c r="F6" s="8" t="n">
        <v>1</v>
      </c>
      <c r="G6" s="8" t="n">
        <v>0.1</v>
      </c>
      <c r="H6" s="8" t="n">
        <v>30</v>
      </c>
      <c r="I6" s="8" t="n">
        <v>3</v>
      </c>
      <c r="J6" s="8" t="s">
        <v>329</v>
      </c>
      <c r="K6" s="8" t="s">
        <v>329</v>
      </c>
      <c r="L6" s="8" t="n">
        <v>0</v>
      </c>
      <c r="M6" s="7" t="n">
        <f aca="false">ROUND(E6*F6/G6,1)</f>
        <v>50</v>
      </c>
      <c r="N6" s="7" t="s">
        <v>366</v>
      </c>
      <c r="O6" s="10"/>
    </row>
    <row r="7" customFormat="false" ht="82.05" hidden="false" customHeight="false" outlineLevel="0" collapsed="false">
      <c r="A7" s="6" t="s">
        <v>313</v>
      </c>
      <c r="B7" s="7" t="s">
        <v>367</v>
      </c>
      <c r="C7" s="8" t="n">
        <v>9</v>
      </c>
      <c r="D7" s="7" t="s">
        <v>368</v>
      </c>
      <c r="E7" s="8" t="n">
        <v>20</v>
      </c>
      <c r="F7" s="8" t="n">
        <v>1</v>
      </c>
      <c r="G7" s="8" t="n">
        <v>1.8</v>
      </c>
      <c r="H7" s="8" t="s">
        <v>329</v>
      </c>
      <c r="I7" s="8" t="s">
        <v>329</v>
      </c>
      <c r="J7" s="8" t="n">
        <v>20</v>
      </c>
      <c r="K7" s="8" t="n">
        <v>0.38</v>
      </c>
      <c r="L7" s="8" t="n">
        <v>0</v>
      </c>
      <c r="M7" s="7" t="n">
        <f aca="false">ROUND(E7*F7/G7,1)</f>
        <v>11.1</v>
      </c>
      <c r="N7" s="7" t="s">
        <v>369</v>
      </c>
      <c r="O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3" min="2" style="0" width="12"/>
    <col collapsed="false" customWidth="true" hidden="false" outlineLevel="0" max="4" min="4" style="0" width="46"/>
    <col collapsed="false" customWidth="true" hidden="false" outlineLevel="0" max="5" min="5" style="0" width="52"/>
    <col collapsed="false" customWidth="true" hidden="false" outlineLevel="0" max="6" min="6" style="0" width="30"/>
  </cols>
  <sheetData>
    <row r="1" customFormat="false" ht="31.5" hidden="false" customHeight="true" outlineLevel="0" collapsed="false">
      <c r="A1" s="4" t="s">
        <v>370</v>
      </c>
      <c r="B1" s="5" t="s">
        <v>18</v>
      </c>
      <c r="C1" s="5" t="s">
        <v>371</v>
      </c>
      <c r="D1" s="5" t="s">
        <v>372</v>
      </c>
      <c r="E1" s="5" t="s">
        <v>373</v>
      </c>
      <c r="F1" s="5" t="s">
        <v>32</v>
      </c>
    </row>
    <row r="2" customFormat="false" ht="82.05" hidden="false" customHeight="false" outlineLevel="0" collapsed="false">
      <c r="A2" s="6" t="s">
        <v>374</v>
      </c>
      <c r="B2" s="7" t="s">
        <v>375</v>
      </c>
      <c r="C2" s="7" t="s">
        <v>376</v>
      </c>
      <c r="D2" s="7" t="s">
        <v>377</v>
      </c>
      <c r="E2" s="9" t="s">
        <v>378</v>
      </c>
      <c r="F2" s="10"/>
    </row>
    <row r="3" customFormat="false" ht="41.75" hidden="false" customHeight="false" outlineLevel="0" collapsed="false">
      <c r="A3" s="6" t="s">
        <v>379</v>
      </c>
      <c r="B3" s="7" t="s">
        <v>380</v>
      </c>
      <c r="C3" s="7" t="s">
        <v>381</v>
      </c>
      <c r="D3" s="7" t="s">
        <v>382</v>
      </c>
      <c r="E3" s="9" t="s">
        <v>383</v>
      </c>
      <c r="F3" s="10"/>
    </row>
    <row r="4" customFormat="false" ht="95.5" hidden="false" customHeight="false" outlineLevel="0" collapsed="false">
      <c r="A4" s="6" t="s">
        <v>384</v>
      </c>
      <c r="B4" s="7" t="s">
        <v>385</v>
      </c>
      <c r="C4" s="7" t="s">
        <v>386</v>
      </c>
      <c r="D4" s="7" t="s">
        <v>387</v>
      </c>
      <c r="E4" s="9" t="s">
        <v>388</v>
      </c>
      <c r="F4" s="10"/>
    </row>
    <row r="5" customFormat="false" ht="68.65" hidden="false" customHeight="false" outlineLevel="0" collapsed="false">
      <c r="A5" s="6" t="s">
        <v>389</v>
      </c>
      <c r="B5" s="7" t="s">
        <v>390</v>
      </c>
      <c r="C5" s="7" t="s">
        <v>82</v>
      </c>
      <c r="D5" s="7" t="s">
        <v>391</v>
      </c>
      <c r="E5" s="9" t="s">
        <v>392</v>
      </c>
      <c r="F5" s="10"/>
    </row>
    <row r="6" customFormat="false" ht="108.95" hidden="false" customHeight="false" outlineLevel="0" collapsed="false">
      <c r="A6" s="6" t="s">
        <v>393</v>
      </c>
      <c r="B6" s="7" t="s">
        <v>394</v>
      </c>
      <c r="C6" s="7" t="s">
        <v>395</v>
      </c>
      <c r="D6" s="7" t="s">
        <v>396</v>
      </c>
      <c r="E6" s="9" t="s">
        <v>397</v>
      </c>
      <c r="F6" s="10"/>
    </row>
    <row r="7" customFormat="false" ht="68.65" hidden="false" customHeight="false" outlineLevel="0" collapsed="false">
      <c r="A7" s="6" t="s">
        <v>398</v>
      </c>
      <c r="B7" s="7" t="s">
        <v>399</v>
      </c>
      <c r="C7" s="7" t="s">
        <v>400</v>
      </c>
      <c r="D7" s="7" t="s">
        <v>401</v>
      </c>
      <c r="E7" s="9" t="s">
        <v>402</v>
      </c>
      <c r="F7" s="10"/>
    </row>
    <row r="8" customFormat="false" ht="82.05" hidden="false" customHeight="false" outlineLevel="0" collapsed="false">
      <c r="A8" s="6" t="s">
        <v>403</v>
      </c>
      <c r="B8" s="7" t="s">
        <v>404</v>
      </c>
      <c r="C8" s="7" t="s">
        <v>405</v>
      </c>
      <c r="D8" s="6" t="s">
        <v>406</v>
      </c>
      <c r="E8" s="9" t="s">
        <v>407</v>
      </c>
      <c r="F8" s="10"/>
    </row>
    <row r="9" customFormat="false" ht="82.05" hidden="false" customHeight="false" outlineLevel="0" collapsed="false">
      <c r="A9" s="6" t="s">
        <v>408</v>
      </c>
      <c r="B9" s="7" t="s">
        <v>409</v>
      </c>
      <c r="C9" s="7" t="s">
        <v>410</v>
      </c>
      <c r="D9" s="7" t="s">
        <v>411</v>
      </c>
      <c r="E9" s="9" t="s">
        <v>412</v>
      </c>
      <c r="F9" s="10"/>
    </row>
    <row r="10" customFormat="false" ht="82.05" hidden="false" customHeight="false" outlineLevel="0" collapsed="false">
      <c r="A10" s="6" t="s">
        <v>413</v>
      </c>
      <c r="B10" s="7" t="s">
        <v>414</v>
      </c>
      <c r="C10" s="7" t="s">
        <v>415</v>
      </c>
      <c r="D10" s="7" t="s">
        <v>416</v>
      </c>
      <c r="E10" s="9" t="s">
        <v>417</v>
      </c>
      <c r="F10" s="10"/>
    </row>
    <row r="11" customFormat="false" ht="95.5" hidden="false" customHeight="false" outlineLevel="0" collapsed="false">
      <c r="A11" s="6" t="s">
        <v>418</v>
      </c>
      <c r="B11" s="7" t="s">
        <v>419</v>
      </c>
      <c r="C11" s="7" t="s">
        <v>420</v>
      </c>
      <c r="D11" s="7" t="s">
        <v>421</v>
      </c>
      <c r="E11" s="9" t="s">
        <v>422</v>
      </c>
      <c r="F11" s="10"/>
    </row>
    <row r="12" customFormat="false" ht="135.8" hidden="false" customHeight="false" outlineLevel="0" collapsed="false">
      <c r="A12" s="6" t="s">
        <v>423</v>
      </c>
      <c r="B12" s="7" t="s">
        <v>424</v>
      </c>
      <c r="C12" s="7" t="s">
        <v>424</v>
      </c>
      <c r="D12" s="7" t="s">
        <v>425</v>
      </c>
      <c r="E12" s="9" t="s">
        <v>426</v>
      </c>
      <c r="F12" s="10"/>
    </row>
    <row r="13" customFormat="false" ht="108.95" hidden="false" customHeight="false" outlineLevel="0" collapsed="false">
      <c r="A13" s="6" t="s">
        <v>427</v>
      </c>
      <c r="B13" s="7" t="s">
        <v>428</v>
      </c>
      <c r="C13" s="7" t="s">
        <v>429</v>
      </c>
      <c r="D13" s="7" t="s">
        <v>430</v>
      </c>
      <c r="E13" s="9" t="s">
        <v>431</v>
      </c>
      <c r="F13" s="10"/>
    </row>
    <row r="14" customFormat="false" ht="108.95" hidden="false" customHeight="false" outlineLevel="0" collapsed="false">
      <c r="A14" s="6" t="s">
        <v>432</v>
      </c>
      <c r="B14" s="7" t="s">
        <v>433</v>
      </c>
      <c r="C14" s="7" t="s">
        <v>434</v>
      </c>
      <c r="D14" s="7" t="s">
        <v>435</v>
      </c>
      <c r="E14" s="9" t="s">
        <v>436</v>
      </c>
      <c r="F14" s="10"/>
    </row>
    <row r="15" customFormat="false" ht="82.05" hidden="false" customHeight="false" outlineLevel="0" collapsed="false">
      <c r="A15" s="6" t="s">
        <v>437</v>
      </c>
      <c r="B15" s="7" t="s">
        <v>438</v>
      </c>
      <c r="C15" s="7" t="s">
        <v>439</v>
      </c>
      <c r="D15" s="7" t="s">
        <v>440</v>
      </c>
      <c r="E15" s="9" t="s">
        <v>441</v>
      </c>
      <c r="F15" s="10"/>
    </row>
    <row r="16" customFormat="false" ht="108.95" hidden="false" customHeight="false" outlineLevel="0" collapsed="false">
      <c r="A16" s="6" t="s">
        <v>442</v>
      </c>
      <c r="B16" s="7" t="s">
        <v>443</v>
      </c>
      <c r="C16" s="7" t="s">
        <v>444</v>
      </c>
      <c r="D16" s="7" t="s">
        <v>445</v>
      </c>
      <c r="E16" s="9" t="s">
        <v>446</v>
      </c>
      <c r="F16" s="10"/>
    </row>
    <row r="17" customFormat="false" ht="135.8" hidden="false" customHeight="false" outlineLevel="0" collapsed="false">
      <c r="A17" s="6" t="s">
        <v>447</v>
      </c>
      <c r="B17" s="7" t="s">
        <v>448</v>
      </c>
      <c r="C17" s="7" t="s">
        <v>449</v>
      </c>
      <c r="D17" s="7" t="s">
        <v>450</v>
      </c>
      <c r="E17" s="8" t="s">
        <v>451</v>
      </c>
      <c r="F17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8"/>
    <col collapsed="false" customWidth="true" hidden="false" outlineLevel="0" max="3" min="3" style="0" width="30"/>
    <col collapsed="false" customWidth="true" hidden="false" outlineLevel="0" max="4" min="4" style="0" width="10"/>
    <col collapsed="false" customWidth="true" hidden="false" outlineLevel="0" max="5" min="5" style="0" width="30"/>
  </cols>
  <sheetData>
    <row r="1" customFormat="false" ht="31.5" hidden="false" customHeight="true" outlineLevel="0" collapsed="false">
      <c r="A1" s="5" t="s">
        <v>20</v>
      </c>
      <c r="B1" s="5" t="s">
        <v>452</v>
      </c>
      <c r="C1" s="5" t="s">
        <v>453</v>
      </c>
      <c r="D1" s="5" t="s">
        <v>454</v>
      </c>
      <c r="E1" s="5" t="s">
        <v>32</v>
      </c>
    </row>
    <row r="2" customFormat="false" ht="15" hidden="false" customHeight="false" outlineLevel="0" collapsed="false">
      <c r="A2" s="7" t="s">
        <v>455</v>
      </c>
      <c r="B2" s="8" t="n">
        <v>3</v>
      </c>
      <c r="C2" s="7" t="s">
        <v>456</v>
      </c>
      <c r="D2" s="16" t="n">
        <f aca="false">ROUND(B2/SUM(B$2:B$12),3)</f>
        <v>0.15</v>
      </c>
      <c r="E2" s="10"/>
    </row>
    <row r="3" customFormat="false" ht="15" hidden="false" customHeight="false" outlineLevel="0" collapsed="false">
      <c r="A3" s="7" t="s">
        <v>455</v>
      </c>
      <c r="B3" s="8" t="n">
        <v>2</v>
      </c>
      <c r="C3" s="7" t="s">
        <v>457</v>
      </c>
      <c r="D3" s="16" t="n">
        <f aca="false">ROUND(B3/SUM(B$2:B$12),3)</f>
        <v>0.1</v>
      </c>
      <c r="E3" s="10"/>
    </row>
    <row r="4" customFormat="false" ht="15" hidden="false" customHeight="false" outlineLevel="0" collapsed="false">
      <c r="A4" s="7" t="s">
        <v>455</v>
      </c>
      <c r="B4" s="8" t="n">
        <v>3</v>
      </c>
      <c r="C4" s="7" t="s">
        <v>458</v>
      </c>
      <c r="D4" s="16" t="n">
        <f aca="false">ROUND(B4/SUM(B$2:B$12),3)</f>
        <v>0.15</v>
      </c>
      <c r="E4" s="10"/>
    </row>
    <row r="5" customFormat="false" ht="15" hidden="false" customHeight="false" outlineLevel="0" collapsed="false">
      <c r="A5" s="7" t="s">
        <v>455</v>
      </c>
      <c r="B5" s="8" t="n">
        <v>1</v>
      </c>
      <c r="C5" s="7" t="s">
        <v>459</v>
      </c>
      <c r="D5" s="16" t="n">
        <f aca="false">ROUND(B5/SUM(B$2:B$12),3)</f>
        <v>0.05</v>
      </c>
      <c r="E5" s="10"/>
    </row>
    <row r="6" customFormat="false" ht="15" hidden="false" customHeight="false" outlineLevel="0" collapsed="false">
      <c r="A6" s="7" t="s">
        <v>455</v>
      </c>
      <c r="B6" s="8" t="n">
        <v>2</v>
      </c>
      <c r="C6" s="7" t="s">
        <v>460</v>
      </c>
      <c r="D6" s="16" t="n">
        <f aca="false">ROUND(B6/SUM(B$2:B$12),3)</f>
        <v>0.1</v>
      </c>
      <c r="E6" s="10"/>
    </row>
    <row r="7" customFormat="false" ht="15" hidden="false" customHeight="false" outlineLevel="0" collapsed="false">
      <c r="A7" s="7" t="s">
        <v>455</v>
      </c>
      <c r="B7" s="8" t="n">
        <v>2</v>
      </c>
      <c r="C7" s="7" t="s">
        <v>461</v>
      </c>
      <c r="D7" s="16" t="n">
        <f aca="false">ROUND(B7/SUM(B$2:B$12),3)</f>
        <v>0.1</v>
      </c>
      <c r="E7" s="10"/>
    </row>
    <row r="8" customFormat="false" ht="15" hidden="false" customHeight="false" outlineLevel="0" collapsed="false">
      <c r="A8" s="7" t="s">
        <v>455</v>
      </c>
      <c r="B8" s="8" t="n">
        <v>2</v>
      </c>
      <c r="C8" s="7" t="s">
        <v>462</v>
      </c>
      <c r="D8" s="16" t="n">
        <f aca="false">ROUND(B8/SUM(B$2:B$12),3)</f>
        <v>0.1</v>
      </c>
      <c r="E8" s="10"/>
    </row>
    <row r="9" customFormat="false" ht="15" hidden="false" customHeight="false" outlineLevel="0" collapsed="false">
      <c r="A9" s="7" t="s">
        <v>455</v>
      </c>
      <c r="B9" s="8" t="n">
        <v>1</v>
      </c>
      <c r="C9" s="7" t="s">
        <v>463</v>
      </c>
      <c r="D9" s="16" t="n">
        <f aca="false">ROUND(B9/SUM(B$2:B$12),3)</f>
        <v>0.05</v>
      </c>
      <c r="E9" s="10"/>
    </row>
    <row r="10" customFormat="false" ht="15" hidden="false" customHeight="false" outlineLevel="0" collapsed="false">
      <c r="A10" s="7" t="s">
        <v>455</v>
      </c>
      <c r="B10" s="8" t="n">
        <v>2</v>
      </c>
      <c r="C10" s="7" t="s">
        <v>464</v>
      </c>
      <c r="D10" s="16" t="n">
        <f aca="false">ROUND(B10/SUM(B$2:B$12),3)</f>
        <v>0.1</v>
      </c>
      <c r="E10" s="10"/>
    </row>
    <row r="11" customFormat="false" ht="15" hidden="false" customHeight="false" outlineLevel="0" collapsed="false">
      <c r="A11" s="7" t="s">
        <v>455</v>
      </c>
      <c r="B11" s="8" t="n">
        <v>1</v>
      </c>
      <c r="C11" s="7" t="s">
        <v>465</v>
      </c>
      <c r="D11" s="16" t="n">
        <f aca="false">ROUND(B11/SUM(B$2:B$12),3)</f>
        <v>0.05</v>
      </c>
      <c r="E11" s="10"/>
    </row>
    <row r="12" customFormat="false" ht="15" hidden="false" customHeight="false" outlineLevel="0" collapsed="false">
      <c r="A12" s="7" t="s">
        <v>455</v>
      </c>
      <c r="B12" s="8" t="n">
        <v>1</v>
      </c>
      <c r="C12" s="7" t="s">
        <v>466</v>
      </c>
      <c r="D12" s="16" t="n">
        <f aca="false">ROUND(B12/SUM(B$2:B$12),3)</f>
        <v>0.05</v>
      </c>
      <c r="E12" s="10"/>
    </row>
    <row r="13" customFormat="false" ht="15" hidden="false" customHeight="false" outlineLevel="0" collapsed="false">
      <c r="A13" s="7" t="s">
        <v>467</v>
      </c>
      <c r="B13" s="8" t="n">
        <v>3</v>
      </c>
      <c r="C13" s="7" t="s">
        <v>468</v>
      </c>
      <c r="D13" s="16" t="n">
        <f aca="false">ROUND(B13/SUM(B$13:B$20),3)</f>
        <v>0.2</v>
      </c>
      <c r="E13" s="10"/>
    </row>
    <row r="14" customFormat="false" ht="15" hidden="false" customHeight="false" outlineLevel="0" collapsed="false">
      <c r="A14" s="7" t="s">
        <v>467</v>
      </c>
      <c r="B14" s="8" t="n">
        <v>1</v>
      </c>
      <c r="C14" s="7" t="s">
        <v>469</v>
      </c>
      <c r="D14" s="16" t="n">
        <f aca="false">ROUND(B14/SUM(B$13:B$20),3)</f>
        <v>0.067</v>
      </c>
      <c r="E14" s="10"/>
    </row>
    <row r="15" customFormat="false" ht="15" hidden="false" customHeight="false" outlineLevel="0" collapsed="false">
      <c r="A15" s="7" t="s">
        <v>467</v>
      </c>
      <c r="B15" s="8" t="n">
        <v>3</v>
      </c>
      <c r="C15" s="7" t="s">
        <v>470</v>
      </c>
      <c r="D15" s="16" t="n">
        <f aca="false">ROUND(B15/SUM(B$13:B$20),3)</f>
        <v>0.2</v>
      </c>
      <c r="E15" s="10"/>
    </row>
    <row r="16" customFormat="false" ht="15" hidden="false" customHeight="false" outlineLevel="0" collapsed="false">
      <c r="A16" s="7" t="s">
        <v>467</v>
      </c>
      <c r="B16" s="8" t="n">
        <v>2</v>
      </c>
      <c r="C16" s="7" t="s">
        <v>471</v>
      </c>
      <c r="D16" s="16" t="n">
        <f aca="false">ROUND(B16/SUM(B$13:B$20),3)</f>
        <v>0.133</v>
      </c>
      <c r="E16" s="10"/>
    </row>
    <row r="17" customFormat="false" ht="15" hidden="false" customHeight="false" outlineLevel="0" collapsed="false">
      <c r="A17" s="7" t="s">
        <v>467</v>
      </c>
      <c r="B17" s="8" t="n">
        <v>2</v>
      </c>
      <c r="C17" s="7" t="s">
        <v>472</v>
      </c>
      <c r="D17" s="16" t="n">
        <f aca="false">ROUND(B17/SUM(B$13:B$20),3)</f>
        <v>0.133</v>
      </c>
      <c r="E17" s="10"/>
    </row>
    <row r="18" customFormat="false" ht="15" hidden="false" customHeight="false" outlineLevel="0" collapsed="false">
      <c r="A18" s="7" t="s">
        <v>467</v>
      </c>
      <c r="B18" s="8" t="n">
        <v>2</v>
      </c>
      <c r="C18" s="7" t="s">
        <v>473</v>
      </c>
      <c r="D18" s="16" t="n">
        <f aca="false">ROUND(B18/SUM(B$13:B$20),3)</f>
        <v>0.133</v>
      </c>
      <c r="E18" s="10"/>
    </row>
    <row r="19" customFormat="false" ht="15" hidden="false" customHeight="false" outlineLevel="0" collapsed="false">
      <c r="A19" s="7" t="s">
        <v>467</v>
      </c>
      <c r="B19" s="8" t="n">
        <v>1</v>
      </c>
      <c r="C19" s="7" t="s">
        <v>474</v>
      </c>
      <c r="D19" s="16" t="n">
        <f aca="false">ROUND(B19/SUM(B$13:B$20),3)</f>
        <v>0.067</v>
      </c>
      <c r="E19" s="10"/>
    </row>
    <row r="20" customFormat="false" ht="15" hidden="false" customHeight="false" outlineLevel="0" collapsed="false">
      <c r="A20" s="7" t="s">
        <v>467</v>
      </c>
      <c r="B20" s="8" t="n">
        <v>1</v>
      </c>
      <c r="C20" s="7" t="s">
        <v>475</v>
      </c>
      <c r="D20" s="16" t="n">
        <f aca="false">ROUND(B20/SUM(B$13:B$20),3)</f>
        <v>0.067</v>
      </c>
      <c r="E20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2026-10-03T09:37:38Z</dcterms:created>
  <dc:creator>openpyxl</dc:creator>
  <dc:description/>
  <dc:language>en-US</dc:language>
  <cp:lastModifiedBy/>
  <dcterms:modified xsi:type="dcterms:W3CDTF">2026-10-03T09:37:38Z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